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IT_WIndows\Kaizen2021\Data-Data\"/>
    </mc:Choice>
  </mc:AlternateContent>
  <xr:revisionPtr revIDLastSave="0" documentId="13_ncr:1_{356E4366-57BF-440F-814E-D4AC8E214213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Guidance" sheetId="5" r:id="rId1"/>
    <sheet name="KPI A2000 Banyuwangi" sheetId="12" r:id="rId2"/>
    <sheet name="Sheet1" sheetId="14" r:id="rId3"/>
    <sheet name="by model (A2000 Banyuwangi)" sheetId="13" r:id="rId4"/>
  </sheets>
  <externalReferences>
    <externalReference r:id="rId5"/>
  </externalReferences>
  <definedNames>
    <definedName name="_xlnm.Print_Area" localSheetId="3">'by model (A2000 Banyuwangi)'!$A$1:$AE$41</definedName>
    <definedName name="_xlnm.Print_Area" localSheetId="0">Guidance!$B$1:$U$177</definedName>
    <definedName name="_xlnm.Print_Area" localSheetId="1">'KPI A2000 Banyuwangi'!$B$1:$T$148</definedName>
  </definedNames>
  <calcPr calcId="181029" refMode="R1C1"/>
</workbook>
</file>

<file path=xl/calcChain.xml><?xml version="1.0" encoding="utf-8"?>
<calcChain xmlns="http://schemas.openxmlformats.org/spreadsheetml/2006/main">
  <c r="M15" i="14" l="1"/>
  <c r="M14" i="14"/>
  <c r="M13" i="14"/>
  <c r="M12" i="14"/>
  <c r="L15" i="14"/>
  <c r="L14" i="14"/>
  <c r="L13" i="14"/>
  <c r="L12" i="14"/>
  <c r="L11" i="14"/>
  <c r="K16" i="14"/>
  <c r="B59" i="14"/>
  <c r="J41" i="14"/>
  <c r="I41" i="14"/>
  <c r="I38" i="14"/>
  <c r="I39" i="14"/>
  <c r="I40" i="14"/>
  <c r="I37" i="14"/>
  <c r="H41" i="14"/>
  <c r="B4" i="14" l="1"/>
  <c r="B43" i="14"/>
  <c r="B38" i="14"/>
  <c r="B33" i="14"/>
  <c r="B28" i="14"/>
  <c r="B24" i="14"/>
  <c r="B20" i="14"/>
  <c r="B11" i="14"/>
  <c r="B13" i="14"/>
  <c r="Q144" i="12"/>
  <c r="R141" i="12"/>
  <c r="P144" i="12" l="1"/>
  <c r="Q123" i="12"/>
  <c r="O144" i="12" l="1"/>
  <c r="P123" i="12" l="1"/>
  <c r="O172" i="12" l="1"/>
  <c r="O171" i="12" s="1"/>
  <c r="O168" i="12"/>
  <c r="N144" i="12" l="1"/>
  <c r="N123" i="12" l="1"/>
  <c r="O123" i="12"/>
  <c r="N172" i="12" l="1"/>
  <c r="M144" i="12" l="1"/>
  <c r="N54" i="12" l="1"/>
  <c r="M147" i="12" l="1"/>
  <c r="L144" i="12" l="1"/>
  <c r="J123" i="12"/>
  <c r="K123" i="12"/>
  <c r="L123" i="12"/>
  <c r="M123" i="12"/>
  <c r="I123" i="12"/>
  <c r="L170" i="12" l="1"/>
  <c r="K144" i="12"/>
  <c r="J144" i="12" l="1"/>
  <c r="I144" i="12"/>
  <c r="I173" i="12" l="1"/>
  <c r="J173" i="12"/>
  <c r="K173" i="12"/>
  <c r="L173" i="12"/>
  <c r="M173" i="12"/>
  <c r="N173" i="12"/>
  <c r="O173" i="12"/>
  <c r="P173" i="12"/>
  <c r="Q173" i="12"/>
  <c r="R173" i="12"/>
  <c r="S173" i="12"/>
  <c r="T173" i="12"/>
  <c r="H173" i="12"/>
  <c r="M170" i="12"/>
  <c r="N170" i="12"/>
  <c r="O170" i="12"/>
  <c r="P170" i="12"/>
  <c r="Q170" i="12"/>
  <c r="R170" i="12"/>
  <c r="S170" i="12"/>
  <c r="T170" i="12"/>
  <c r="H170" i="12"/>
  <c r="I140" i="12"/>
  <c r="J140" i="12"/>
  <c r="K140" i="12"/>
  <c r="L140" i="12"/>
  <c r="M140" i="12"/>
  <c r="N140" i="12"/>
  <c r="O140" i="12"/>
  <c r="P140" i="12"/>
  <c r="Q140" i="12"/>
  <c r="R140" i="12"/>
  <c r="S140" i="12"/>
  <c r="T140" i="12"/>
  <c r="I141" i="12"/>
  <c r="J141" i="12"/>
  <c r="K141" i="12"/>
  <c r="L141" i="12"/>
  <c r="M141" i="12"/>
  <c r="N141" i="12"/>
  <c r="O141" i="12"/>
  <c r="P141" i="12"/>
  <c r="Q141" i="12"/>
  <c r="S141" i="12"/>
  <c r="T141" i="12"/>
  <c r="I124" i="12"/>
  <c r="J124" i="12"/>
  <c r="K124" i="12"/>
  <c r="L124" i="12"/>
  <c r="M124" i="12"/>
  <c r="N124" i="12"/>
  <c r="O124" i="12"/>
  <c r="P124" i="12"/>
  <c r="Q124" i="12"/>
  <c r="R124" i="12"/>
  <c r="S124" i="12"/>
  <c r="T124" i="12"/>
  <c r="I108" i="12"/>
  <c r="J108" i="12"/>
  <c r="K108" i="12"/>
  <c r="L108" i="12"/>
  <c r="M108" i="12"/>
  <c r="N108" i="12"/>
  <c r="O108" i="12"/>
  <c r="P108" i="12"/>
  <c r="Q108" i="12"/>
  <c r="R108" i="12"/>
  <c r="S108" i="12"/>
  <c r="T108" i="12"/>
  <c r="I105" i="12"/>
  <c r="J105" i="12"/>
  <c r="K105" i="12"/>
  <c r="L105" i="12"/>
  <c r="M105" i="12"/>
  <c r="N105" i="12"/>
  <c r="O105" i="12"/>
  <c r="P105" i="12"/>
  <c r="Q105" i="12"/>
  <c r="R105" i="12"/>
  <c r="S105" i="12"/>
  <c r="T105" i="12"/>
  <c r="I94" i="12"/>
  <c r="J94" i="12"/>
  <c r="K94" i="12"/>
  <c r="L94" i="12"/>
  <c r="M94" i="12"/>
  <c r="N94" i="12"/>
  <c r="O94" i="12"/>
  <c r="P94" i="12"/>
  <c r="Q94" i="12"/>
  <c r="R94" i="12"/>
  <c r="S94" i="12"/>
  <c r="T94" i="12"/>
  <c r="I87" i="12"/>
  <c r="J87" i="12"/>
  <c r="K87" i="12"/>
  <c r="L87" i="12"/>
  <c r="M87" i="12"/>
  <c r="N87" i="12"/>
  <c r="O87" i="12"/>
  <c r="P87" i="12"/>
  <c r="Q87" i="12"/>
  <c r="R87" i="12"/>
  <c r="S87" i="12"/>
  <c r="T87" i="12"/>
  <c r="I84" i="12"/>
  <c r="J84" i="12"/>
  <c r="K84" i="12"/>
  <c r="L84" i="12"/>
  <c r="M84" i="12"/>
  <c r="N84" i="12"/>
  <c r="O84" i="12"/>
  <c r="P84" i="12"/>
  <c r="Q84" i="12"/>
  <c r="R84" i="12"/>
  <c r="S84" i="12"/>
  <c r="T84" i="12"/>
  <c r="I78" i="12"/>
  <c r="J78" i="12"/>
  <c r="K78" i="12"/>
  <c r="L78" i="12"/>
  <c r="M78" i="12"/>
  <c r="N78" i="12"/>
  <c r="O78" i="12"/>
  <c r="P78" i="12"/>
  <c r="Q78" i="12"/>
  <c r="R78" i="12"/>
  <c r="R96" i="12" s="1"/>
  <c r="S78" i="12"/>
  <c r="S96" i="12" s="1"/>
  <c r="T78" i="12"/>
  <c r="T96" i="12" s="1"/>
  <c r="I79" i="12"/>
  <c r="J79" i="12"/>
  <c r="K79" i="12"/>
  <c r="L79" i="12"/>
  <c r="M79" i="12"/>
  <c r="N79" i="12"/>
  <c r="O79" i="12"/>
  <c r="P79" i="12"/>
  <c r="Q79" i="12"/>
  <c r="R79" i="12"/>
  <c r="S79" i="12"/>
  <c r="T79" i="12"/>
  <c r="I60" i="12"/>
  <c r="I63" i="12" s="1"/>
  <c r="J60" i="12"/>
  <c r="J63" i="12" s="1"/>
  <c r="K60" i="12"/>
  <c r="K63" i="12" s="1"/>
  <c r="L60" i="12"/>
  <c r="L63" i="12" s="1"/>
  <c r="M60" i="12"/>
  <c r="M63" i="12" s="1"/>
  <c r="N60" i="12"/>
  <c r="N63" i="12" s="1"/>
  <c r="O60" i="12"/>
  <c r="O63" i="12" s="1"/>
  <c r="P60" i="12"/>
  <c r="P63" i="12" s="1"/>
  <c r="Q60" i="12"/>
  <c r="Q63" i="12" s="1"/>
  <c r="R60" i="12"/>
  <c r="R63" i="12" s="1"/>
  <c r="S60" i="12"/>
  <c r="S63" i="12" s="1"/>
  <c r="T60" i="12"/>
  <c r="T63" i="12" s="1"/>
  <c r="H60" i="12"/>
  <c r="H63" i="12" s="1"/>
  <c r="I54" i="12"/>
  <c r="J54" i="12"/>
  <c r="K54" i="12"/>
  <c r="L54" i="12"/>
  <c r="M54" i="12"/>
  <c r="O54" i="12"/>
  <c r="P54" i="12"/>
  <c r="Q54" i="12"/>
  <c r="R54" i="12"/>
  <c r="S54" i="12"/>
  <c r="T54" i="12"/>
  <c r="H54" i="12"/>
  <c r="I46" i="12"/>
  <c r="J46" i="12"/>
  <c r="K46" i="12"/>
  <c r="L46" i="12"/>
  <c r="M46" i="12"/>
  <c r="N46" i="12"/>
  <c r="O46" i="12"/>
  <c r="P46" i="12"/>
  <c r="Q46" i="12"/>
  <c r="R46" i="12"/>
  <c r="S46" i="12"/>
  <c r="T46" i="12"/>
  <c r="H46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H39" i="12"/>
  <c r="I36" i="12"/>
  <c r="J36" i="12"/>
  <c r="K36" i="12"/>
  <c r="K142" i="12" s="1"/>
  <c r="L36" i="12"/>
  <c r="L142" i="12" s="1"/>
  <c r="M36" i="12"/>
  <c r="M142" i="12" s="1"/>
  <c r="N36" i="12"/>
  <c r="N142" i="12" s="1"/>
  <c r="O36" i="12"/>
  <c r="O142" i="12" s="1"/>
  <c r="P36" i="12"/>
  <c r="P142" i="12" s="1"/>
  <c r="Q36" i="12"/>
  <c r="Q142" i="12" s="1"/>
  <c r="R36" i="12"/>
  <c r="R142" i="12" s="1"/>
  <c r="S36" i="12"/>
  <c r="S142" i="12" s="1"/>
  <c r="T36" i="12"/>
  <c r="T142" i="12" s="1"/>
  <c r="H36" i="12"/>
  <c r="I22" i="12"/>
  <c r="J22" i="12"/>
  <c r="K22" i="12"/>
  <c r="L22" i="12"/>
  <c r="L118" i="12" s="1"/>
  <c r="M22" i="12"/>
  <c r="M118" i="12" s="1"/>
  <c r="N22" i="12"/>
  <c r="O22" i="12"/>
  <c r="O118" i="12" s="1"/>
  <c r="P22" i="12"/>
  <c r="P118" i="12" s="1"/>
  <c r="Q22" i="12"/>
  <c r="Q118" i="12" s="1"/>
  <c r="R22" i="12"/>
  <c r="S22" i="12"/>
  <c r="T22" i="12"/>
  <c r="H155" i="12"/>
  <c r="H153" i="12"/>
  <c r="H141" i="12"/>
  <c r="H140" i="12"/>
  <c r="G136" i="12"/>
  <c r="G137" i="12" s="1"/>
  <c r="G138" i="12" s="1"/>
  <c r="G139" i="12" s="1"/>
  <c r="G140" i="12" s="1"/>
  <c r="G141" i="12" s="1"/>
  <c r="G142" i="12" s="1"/>
  <c r="G128" i="12"/>
  <c r="G129" i="12" s="1"/>
  <c r="H124" i="12"/>
  <c r="G119" i="12"/>
  <c r="G120" i="12" s="1"/>
  <c r="G121" i="12" s="1"/>
  <c r="G122" i="12" s="1"/>
  <c r="G123" i="12" s="1"/>
  <c r="G124" i="12" s="1"/>
  <c r="G113" i="12"/>
  <c r="G114" i="12" s="1"/>
  <c r="G115" i="12" s="1"/>
  <c r="H108" i="12"/>
  <c r="H105" i="12"/>
  <c r="H94" i="12"/>
  <c r="H87" i="12"/>
  <c r="H84" i="12"/>
  <c r="G81" i="12"/>
  <c r="G82" i="12" s="1"/>
  <c r="G83" i="12" s="1"/>
  <c r="G84" i="12" s="1"/>
  <c r="G85" i="12" s="1"/>
  <c r="G86" i="12" s="1"/>
  <c r="G87" i="12" s="1"/>
  <c r="G88" i="12" s="1"/>
  <c r="G89" i="12" s="1"/>
  <c r="G90" i="12" s="1"/>
  <c r="G91" i="12" s="1"/>
  <c r="G92" i="12" s="1"/>
  <c r="G93" i="12" s="1"/>
  <c r="G94" i="12" s="1"/>
  <c r="G95" i="12" s="1"/>
  <c r="G96" i="12" s="1"/>
  <c r="G98" i="12" s="1"/>
  <c r="G99" i="12" s="1"/>
  <c r="G100" i="12" s="1"/>
  <c r="G102" i="12" s="1"/>
  <c r="G103" i="12" s="1"/>
  <c r="G104" i="12" s="1"/>
  <c r="G105" i="12" s="1"/>
  <c r="G106" i="12" s="1"/>
  <c r="G108" i="12" s="1"/>
  <c r="G109" i="12" s="1"/>
  <c r="G110" i="12" s="1"/>
  <c r="H79" i="12"/>
  <c r="H78" i="12"/>
  <c r="G73" i="12"/>
  <c r="G74" i="12" s="1"/>
  <c r="G75" i="12" s="1"/>
  <c r="G76" i="12" s="1"/>
  <c r="G77" i="12" s="1"/>
  <c r="G78" i="12" s="1"/>
  <c r="G50" i="12"/>
  <c r="G51" i="12" s="1"/>
  <c r="G52" i="12" s="1"/>
  <c r="G53" i="12" s="1"/>
  <c r="G54" i="12" s="1"/>
  <c r="G55" i="12" s="1"/>
  <c r="G58" i="12" s="1"/>
  <c r="G59" i="12" s="1"/>
  <c r="G60" i="12" s="1"/>
  <c r="G61" i="12" s="1"/>
  <c r="G42" i="12"/>
  <c r="G37" i="12"/>
  <c r="G38" i="12" s="1"/>
  <c r="G39" i="12" s="1"/>
  <c r="G32" i="12"/>
  <c r="G26" i="12"/>
  <c r="H22" i="12"/>
  <c r="H133" i="12" s="1"/>
  <c r="B2" i="12"/>
  <c r="B1" i="12"/>
  <c r="T133" i="12" l="1"/>
  <c r="T155" i="12"/>
  <c r="T153" i="12"/>
  <c r="R133" i="12"/>
  <c r="R118" i="12"/>
  <c r="N133" i="12"/>
  <c r="N118" i="12"/>
  <c r="J133" i="12"/>
  <c r="J155" i="12"/>
  <c r="J153" i="12"/>
  <c r="J118" i="12"/>
  <c r="H142" i="12"/>
  <c r="I169" i="12"/>
  <c r="I170" i="12" s="1"/>
  <c r="I142" i="12"/>
  <c r="J169" i="12"/>
  <c r="J170" i="12" s="1"/>
  <c r="S133" i="12"/>
  <c r="S155" i="12"/>
  <c r="S153" i="12"/>
  <c r="K133" i="12"/>
  <c r="K155" i="12"/>
  <c r="K153" i="12"/>
  <c r="K118" i="12"/>
  <c r="I133" i="12"/>
  <c r="I155" i="12"/>
  <c r="I153" i="12"/>
  <c r="I118" i="12"/>
  <c r="J142" i="12"/>
  <c r="K169" i="12"/>
  <c r="K170" i="12" s="1"/>
  <c r="R153" i="12"/>
  <c r="R155" i="12"/>
  <c r="Q96" i="12"/>
  <c r="Q133" i="12"/>
  <c r="Q155" i="12"/>
  <c r="Q153" i="12"/>
  <c r="P96" i="12"/>
  <c r="P133" i="12"/>
  <c r="P153" i="12"/>
  <c r="P155" i="12"/>
  <c r="O96" i="12"/>
  <c r="O133" i="12"/>
  <c r="O155" i="12"/>
  <c r="O153" i="12"/>
  <c r="N96" i="12"/>
  <c r="N155" i="12"/>
  <c r="N153" i="12"/>
  <c r="M96" i="12"/>
  <c r="M133" i="12"/>
  <c r="M153" i="12"/>
  <c r="M155" i="12"/>
  <c r="L96" i="12"/>
  <c r="L133" i="12"/>
  <c r="L155" i="12"/>
  <c r="L153" i="12"/>
  <c r="K96" i="12"/>
  <c r="I96" i="12"/>
  <c r="J96" i="12"/>
  <c r="H96" i="12"/>
  <c r="H124" i="5" l="1"/>
  <c r="H94" i="5"/>
  <c r="H60" i="5"/>
  <c r="H63" i="5" s="1"/>
  <c r="H46" i="5"/>
  <c r="H39" i="5"/>
  <c r="H36" i="5"/>
  <c r="H22" i="5"/>
  <c r="H133" i="5" s="1"/>
  <c r="H153" i="5" l="1"/>
  <c r="H155" i="5"/>
  <c r="H141" i="5" l="1"/>
  <c r="H140" i="5"/>
  <c r="H108" i="5"/>
  <c r="H105" i="5"/>
  <c r="H87" i="5"/>
  <c r="H84" i="5"/>
  <c r="H79" i="5"/>
  <c r="H78" i="5"/>
  <c r="H96" i="5" s="1"/>
  <c r="H54" i="5"/>
  <c r="H142" i="5"/>
  <c r="T124" i="5" l="1"/>
  <c r="S124" i="5"/>
  <c r="R124" i="5"/>
  <c r="Q124" i="5"/>
  <c r="P124" i="5"/>
  <c r="O124" i="5"/>
  <c r="N124" i="5"/>
  <c r="M124" i="5"/>
  <c r="L124" i="5"/>
  <c r="K124" i="5"/>
  <c r="J124" i="5"/>
  <c r="I124" i="5"/>
  <c r="J22" i="5" l="1"/>
  <c r="I22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I79" i="5"/>
  <c r="I78" i="5"/>
  <c r="I60" i="5"/>
  <c r="I63" i="5" s="1"/>
  <c r="I54" i="5"/>
  <c r="J46" i="5"/>
  <c r="I46" i="5"/>
  <c r="J39" i="5"/>
  <c r="I39" i="5"/>
  <c r="J36" i="5"/>
  <c r="J142" i="5" s="1"/>
  <c r="I36" i="5"/>
  <c r="I142" i="5" s="1"/>
  <c r="I94" i="5"/>
  <c r="I87" i="5"/>
  <c r="I84" i="5"/>
  <c r="I108" i="5"/>
  <c r="I105" i="5"/>
  <c r="I96" i="5" l="1"/>
  <c r="T79" i="5" l="1"/>
  <c r="S79" i="5"/>
  <c r="R79" i="5"/>
  <c r="Q79" i="5"/>
  <c r="P79" i="5"/>
  <c r="O79" i="5"/>
  <c r="N79" i="5"/>
  <c r="M79" i="5"/>
  <c r="L79" i="5"/>
  <c r="K79" i="5"/>
  <c r="J79" i="5"/>
  <c r="G136" i="5"/>
  <c r="G137" i="5" s="1"/>
  <c r="G138" i="5" s="1"/>
  <c r="G139" i="5" s="1"/>
  <c r="G140" i="5" s="1"/>
  <c r="G141" i="5" s="1"/>
  <c r="G142" i="5" s="1"/>
  <c r="G128" i="5"/>
  <c r="G129" i="5" s="1"/>
  <c r="G119" i="5"/>
  <c r="G120" i="5" s="1"/>
  <c r="G121" i="5" s="1"/>
  <c r="G122" i="5" s="1"/>
  <c r="G123" i="5" s="1"/>
  <c r="G124" i="5" s="1"/>
  <c r="G113" i="5"/>
  <c r="G114" i="5" s="1"/>
  <c r="G115" i="5" s="1"/>
  <c r="T108" i="5"/>
  <c r="S108" i="5"/>
  <c r="R108" i="5"/>
  <c r="Q108" i="5"/>
  <c r="P108" i="5"/>
  <c r="O108" i="5"/>
  <c r="N108" i="5"/>
  <c r="M108" i="5"/>
  <c r="L108" i="5"/>
  <c r="K108" i="5"/>
  <c r="J108" i="5"/>
  <c r="T105" i="5"/>
  <c r="S105" i="5"/>
  <c r="R105" i="5"/>
  <c r="Q105" i="5"/>
  <c r="P105" i="5"/>
  <c r="O105" i="5"/>
  <c r="N105" i="5"/>
  <c r="M105" i="5"/>
  <c r="L105" i="5"/>
  <c r="K105" i="5"/>
  <c r="J105" i="5"/>
  <c r="T94" i="5"/>
  <c r="S94" i="5"/>
  <c r="R94" i="5"/>
  <c r="Q94" i="5"/>
  <c r="P94" i="5"/>
  <c r="O94" i="5"/>
  <c r="N94" i="5"/>
  <c r="M94" i="5"/>
  <c r="L94" i="5"/>
  <c r="K94" i="5"/>
  <c r="J94" i="5"/>
  <c r="T87" i="5"/>
  <c r="S87" i="5"/>
  <c r="R87" i="5"/>
  <c r="Q87" i="5"/>
  <c r="P87" i="5"/>
  <c r="O87" i="5"/>
  <c r="N87" i="5"/>
  <c r="M87" i="5"/>
  <c r="L87" i="5"/>
  <c r="K87" i="5"/>
  <c r="J87" i="5"/>
  <c r="T84" i="5"/>
  <c r="S84" i="5"/>
  <c r="R84" i="5"/>
  <c r="Q84" i="5"/>
  <c r="P84" i="5"/>
  <c r="O84" i="5"/>
  <c r="N84" i="5"/>
  <c r="M84" i="5"/>
  <c r="L84" i="5"/>
  <c r="K84" i="5"/>
  <c r="J84" i="5"/>
  <c r="G81" i="5"/>
  <c r="G82" i="5" s="1"/>
  <c r="G83" i="5" s="1"/>
  <c r="G84" i="5" s="1"/>
  <c r="G85" i="5" s="1"/>
  <c r="G86" i="5" s="1"/>
  <c r="G87" i="5" s="1"/>
  <c r="G88" i="5" s="1"/>
  <c r="G89" i="5" s="1"/>
  <c r="G90" i="5" s="1"/>
  <c r="G91" i="5" s="1"/>
  <c r="G92" i="5" s="1"/>
  <c r="G93" i="5" s="1"/>
  <c r="G94" i="5" s="1"/>
  <c r="G95" i="5" s="1"/>
  <c r="G96" i="5" s="1"/>
  <c r="G98" i="5" s="1"/>
  <c r="G99" i="5" s="1"/>
  <c r="G100" i="5" s="1"/>
  <c r="G102" i="5" s="1"/>
  <c r="G103" i="5" s="1"/>
  <c r="G104" i="5" s="1"/>
  <c r="G105" i="5" s="1"/>
  <c r="G106" i="5" s="1"/>
  <c r="G108" i="5" s="1"/>
  <c r="G109" i="5" s="1"/>
  <c r="G110" i="5" s="1"/>
  <c r="T78" i="5"/>
  <c r="S78" i="5"/>
  <c r="R78" i="5"/>
  <c r="Q78" i="5"/>
  <c r="P78" i="5"/>
  <c r="O78" i="5"/>
  <c r="N78" i="5"/>
  <c r="M78" i="5"/>
  <c r="L78" i="5"/>
  <c r="K78" i="5"/>
  <c r="J78" i="5"/>
  <c r="G73" i="5"/>
  <c r="G74" i="5" s="1"/>
  <c r="G75" i="5" s="1"/>
  <c r="G76" i="5" s="1"/>
  <c r="G77" i="5" s="1"/>
  <c r="G78" i="5" s="1"/>
  <c r="T60" i="5"/>
  <c r="T63" i="5" s="1"/>
  <c r="S60" i="5"/>
  <c r="S63" i="5" s="1"/>
  <c r="R60" i="5"/>
  <c r="R63" i="5" s="1"/>
  <c r="Q60" i="5"/>
  <c r="Q63" i="5" s="1"/>
  <c r="P60" i="5"/>
  <c r="P63" i="5" s="1"/>
  <c r="O60" i="5"/>
  <c r="O63" i="5" s="1"/>
  <c r="N60" i="5"/>
  <c r="N63" i="5" s="1"/>
  <c r="M60" i="5"/>
  <c r="M63" i="5" s="1"/>
  <c r="L60" i="5"/>
  <c r="L63" i="5" s="1"/>
  <c r="K60" i="5"/>
  <c r="K63" i="5" s="1"/>
  <c r="J60" i="5"/>
  <c r="J63" i="5" s="1"/>
  <c r="T54" i="5"/>
  <c r="S54" i="5"/>
  <c r="R54" i="5"/>
  <c r="Q54" i="5"/>
  <c r="P54" i="5"/>
  <c r="O54" i="5"/>
  <c r="N54" i="5"/>
  <c r="M54" i="5"/>
  <c r="L54" i="5"/>
  <c r="K54" i="5"/>
  <c r="J54" i="5"/>
  <c r="G50" i="5"/>
  <c r="G51" i="5" s="1"/>
  <c r="G52" i="5" s="1"/>
  <c r="G53" i="5" s="1"/>
  <c r="G54" i="5" s="1"/>
  <c r="G55" i="5" s="1"/>
  <c r="G58" i="5" s="1"/>
  <c r="G59" i="5" s="1"/>
  <c r="G60" i="5" s="1"/>
  <c r="G61" i="5" s="1"/>
  <c r="T46" i="5"/>
  <c r="S46" i="5"/>
  <c r="R46" i="5"/>
  <c r="Q46" i="5"/>
  <c r="P46" i="5"/>
  <c r="O46" i="5"/>
  <c r="N46" i="5"/>
  <c r="M46" i="5"/>
  <c r="L46" i="5"/>
  <c r="K46" i="5"/>
  <c r="G42" i="5"/>
  <c r="T39" i="5"/>
  <c r="S39" i="5"/>
  <c r="R39" i="5"/>
  <c r="Q39" i="5"/>
  <c r="P39" i="5"/>
  <c r="O39" i="5"/>
  <c r="N39" i="5"/>
  <c r="M39" i="5"/>
  <c r="L39" i="5"/>
  <c r="K39" i="5"/>
  <c r="G37" i="5"/>
  <c r="G38" i="5" s="1"/>
  <c r="G39" i="5" s="1"/>
  <c r="T36" i="5"/>
  <c r="T142" i="5" s="1"/>
  <c r="S36" i="5"/>
  <c r="S142" i="5" s="1"/>
  <c r="R36" i="5"/>
  <c r="R142" i="5" s="1"/>
  <c r="Q36" i="5"/>
  <c r="Q142" i="5" s="1"/>
  <c r="P36" i="5"/>
  <c r="P142" i="5" s="1"/>
  <c r="O36" i="5"/>
  <c r="O142" i="5" s="1"/>
  <c r="N36" i="5"/>
  <c r="N142" i="5" s="1"/>
  <c r="M36" i="5"/>
  <c r="M142" i="5" s="1"/>
  <c r="L36" i="5"/>
  <c r="L142" i="5" s="1"/>
  <c r="K36" i="5"/>
  <c r="K142" i="5" s="1"/>
  <c r="G32" i="5"/>
  <c r="G26" i="5"/>
  <c r="T22" i="5"/>
  <c r="S22" i="5"/>
  <c r="R22" i="5"/>
  <c r="Q22" i="5"/>
  <c r="P22" i="5"/>
  <c r="O22" i="5"/>
  <c r="N22" i="5"/>
  <c r="M22" i="5"/>
  <c r="L22" i="5"/>
  <c r="K22" i="5"/>
  <c r="B2" i="5"/>
  <c r="B1" i="5"/>
  <c r="J96" i="5" l="1"/>
  <c r="N96" i="5"/>
  <c r="R96" i="5"/>
  <c r="K96" i="5"/>
  <c r="O96" i="5"/>
  <c r="S96" i="5"/>
  <c r="M96" i="5"/>
  <c r="Q96" i="5"/>
  <c r="L96" i="5"/>
  <c r="P96" i="5"/>
  <c r="T9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faozan035906</author>
  </authors>
  <commentList>
    <comment ref="I95" authorId="0" shapeId="0" xr:uid="{00000000-0006-0000-0100-000001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J95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K95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L95" authorId="0" shapeId="0" xr:uid="{00000000-0006-0000-0100-000004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M95" authorId="0" shapeId="0" xr:uid="{00000000-0006-0000-0100-000005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N95" authorId="0" shapeId="0" xr:uid="{00000000-0006-0000-0100-000006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O95" authorId="0" shapeId="0" xr:uid="{00000000-0006-0000-0100-000007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P95" authorId="0" shapeId="0" xr:uid="{00000000-0006-0000-0100-000008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Q95" authorId="0" shapeId="0" xr:uid="{00000000-0006-0000-0100-000009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  <comment ref="R95" authorId="0" shapeId="0" xr:uid="{00000000-0006-0000-0100-00000A000000}">
      <text>
        <r>
          <rPr>
            <b/>
            <sz val="9"/>
            <color indexed="81"/>
            <rFont val="Tahoma"/>
            <charset val="1"/>
          </rPr>
          <t>faozan035906:</t>
        </r>
        <r>
          <rPr>
            <sz val="9"/>
            <color indexed="81"/>
            <rFont val="Tahoma"/>
            <charset val="1"/>
          </rPr>
          <t xml:space="preserve">
- MRA : 2
- Washing : 2
- Valet : 1
- Admin : 2
- PIC Tools : 1</t>
        </r>
      </text>
    </comment>
  </commentList>
</comments>
</file>

<file path=xl/sharedStrings.xml><?xml version="1.0" encoding="utf-8"?>
<sst xmlns="http://schemas.openxmlformats.org/spreadsheetml/2006/main" count="682" uniqueCount="431">
  <si>
    <t>BRANCH_NAME</t>
  </si>
  <si>
    <t>BRANCH_CODE</t>
  </si>
  <si>
    <t>NO</t>
  </si>
  <si>
    <t>KPI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</si>
  <si>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</si>
  <si>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</si>
  <si>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</si>
  <si>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</si>
  <si>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</si>
  <si>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</si>
  <si>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</si>
  <si>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</si>
  <si>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</si>
  <si>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</si>
  <si>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</si>
  <si>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</si>
  <si>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UNIT</t>
  </si>
  <si>
    <t>Servis Berkala Eksternal [SBE]</t>
  </si>
  <si>
    <t>SBE per Kilometer</t>
  </si>
  <si>
    <t>Kelipatan 5K di bawah 100K [15,25,35,dst]</t>
  </si>
  <si>
    <t>SBE km lainnya di atas 100K</t>
  </si>
  <si>
    <t>General Repair</t>
  </si>
  <si>
    <t>Unit Ganti Oli Mesin</t>
  </si>
  <si>
    <t>General Repair Lainnya</t>
  </si>
  <si>
    <t>(ETU, Perbaikan AC, Disc Brake dll)</t>
  </si>
  <si>
    <t>Warranty</t>
  </si>
  <si>
    <t>Return Job/Pekerjaan Ulang</t>
  </si>
  <si>
    <t>Pre Delivery Service</t>
  </si>
  <si>
    <t>1. Unit SP SBE</t>
  </si>
  <si>
    <t>2. Unit SP Total</t>
  </si>
  <si>
    <t>1. Unit EM Total</t>
  </si>
  <si>
    <t>UNIT BOOKING</t>
  </si>
  <si>
    <t>Jml pelanggan booking yang datang servis pada hari booking yang sama</t>
  </si>
  <si>
    <t xml:space="preserve">REVENUE [Rupiah aktual yang diterima bengkel setelah harga diskon] </t>
  </si>
  <si>
    <t>CPUS (x Rp 1.000)</t>
  </si>
  <si>
    <t>Labor ( X IDR 1,000)</t>
  </si>
  <si>
    <t>Parts TOYOTA &amp; Oli TMO ( X IDR 1,000)</t>
  </si>
  <si>
    <t>Oli / Bahan Non TOYOTA ( X IDR 1,000)</t>
  </si>
  <si>
    <t>Pekerjaan Luar ( X IDR 1,000)</t>
  </si>
  <si>
    <t>SBE</t>
  </si>
  <si>
    <t>Total Servis Berkala Eks Revenue</t>
  </si>
  <si>
    <t xml:space="preserve">CAPACITY &amp; MANPOWER </t>
  </si>
  <si>
    <t>a. Stall</t>
  </si>
  <si>
    <t>Jumlah Stall</t>
  </si>
  <si>
    <t>Stall Expres Maintenance [EM]</t>
  </si>
  <si>
    <t>Stall Produktif lainnya [Non EM]</t>
  </si>
  <si>
    <t>Teknisi</t>
  </si>
  <si>
    <t>PSG / Magang</t>
  </si>
  <si>
    <t>Toyota Technician</t>
  </si>
  <si>
    <t>Pro Technician</t>
  </si>
  <si>
    <t>Diagnosa Technician</t>
  </si>
  <si>
    <t>Diagnosa Master Technician</t>
  </si>
  <si>
    <t>Service Advisor</t>
  </si>
  <si>
    <t>Foreman</t>
  </si>
  <si>
    <t>Non TFT</t>
  </si>
  <si>
    <t>Sertifikasi  TEAM 21 Foreman</t>
  </si>
  <si>
    <t>DT</t>
  </si>
  <si>
    <t>Partsman</t>
  </si>
  <si>
    <t>Level-1</t>
  </si>
  <si>
    <t>Lainnya (Kepala Bengkel, Instruktur, Kasir, Staf Adm. Bengkel, Cuci, Kolektor, dll.)</t>
  </si>
  <si>
    <t>PARTS</t>
  </si>
  <si>
    <t>Fill Rate</t>
  </si>
  <si>
    <t>Service Rate</t>
  </si>
  <si>
    <t>Stock day (satuannya hari)</t>
  </si>
  <si>
    <t>a. PENJUALAN TMO &amp; TGGO</t>
  </si>
  <si>
    <t>TMO Mineral [liter]</t>
  </si>
  <si>
    <t>TMO Syntetic [liter]</t>
  </si>
  <si>
    <t>TMO Full Syntetic [liter]</t>
  </si>
  <si>
    <t>b. TGGO [liter]</t>
  </si>
  <si>
    <t>b. PENJUALAN NON TOYOTA</t>
  </si>
  <si>
    <t>Mineral [liter]</t>
  </si>
  <si>
    <t>Syntetic [liter]</t>
  </si>
  <si>
    <t>b. Oli Transmisi &amp; Diff [liter]</t>
  </si>
  <si>
    <t>JAM KERJA</t>
  </si>
  <si>
    <t>a. Jam Tersedia [biasa &amp; lembur]</t>
  </si>
  <si>
    <t>b. Jam Terpakai</t>
  </si>
  <si>
    <t>c. Jam Terjual</t>
  </si>
  <si>
    <t>- Jumlah Unit yang berhasil difollow up</t>
  </si>
  <si>
    <t>- Jumlah Unit RTJ</t>
  </si>
  <si>
    <t>Lead Time</t>
  </si>
  <si>
    <t>On Time Delivery Rate</t>
  </si>
  <si>
    <t xml:space="preserve">Jumlah pelanggan yang seharusnya diundang </t>
  </si>
  <si>
    <t>Jumlah telepon terhubung ke pelanggan</t>
  </si>
  <si>
    <t>Jumlah pelanggan yang ditelepon</t>
  </si>
  <si>
    <t>Listrik (kwh)</t>
  </si>
  <si>
    <t>1. Unit CPUS</t>
  </si>
  <si>
    <t>2. Unit Non CPUS</t>
  </si>
  <si>
    <t>Sub Total Stall Produktif [EM + Non EM]                                           (40+41)</t>
  </si>
  <si>
    <t>DATA PENGGUNAAN LISTRIK</t>
  </si>
  <si>
    <t>a. Average Leadtime EM</t>
  </si>
  <si>
    <t>b. Average Leadtime SBE</t>
  </si>
  <si>
    <t>c. Average Leadtime GR</t>
  </si>
  <si>
    <t>d. Average Leadtime Total</t>
  </si>
  <si>
    <t>b. Kendaraan TMS</t>
  </si>
  <si>
    <t>Jumlah Kendaraan TMS Mobil</t>
  </si>
  <si>
    <t>Jumlah Kendaraan TMS Motor</t>
  </si>
  <si>
    <t>a. Unit Toyota Mobile Service (TMS) -  Mobil</t>
  </si>
  <si>
    <t>b. Unit Toyota Mobile Service (TMS) -  Motor</t>
  </si>
  <si>
    <t>c. Unit Service Point (SP)</t>
  </si>
  <si>
    <t>d. Unit Express Maintenance (EM)</t>
  </si>
  <si>
    <t>e. Unit Customer Paid (CPUS)</t>
  </si>
  <si>
    <t>f. Detail Pekerjaan Unit CPUS</t>
  </si>
  <si>
    <t>g. Detail Pekerjaan Unit Non CPUS</t>
  </si>
  <si>
    <t>Stall lain-lain (loading, unloading, PDS ,DIO, spooring, engine care AC)</t>
  </si>
  <si>
    <t>Stall belum terpakai</t>
  </si>
  <si>
    <t>Not yet certified tech</t>
  </si>
  <si>
    <t>Not yet certified partsman</t>
  </si>
  <si>
    <t>PSFU &amp; FIR Ratio</t>
  </si>
  <si>
    <t>- Jumlah Unit yang harus difollow up (total UE-PDS)</t>
  </si>
  <si>
    <t>- Jawaban TIDAK untuk Q1 (Fix it Right)</t>
  </si>
  <si>
    <t>- Jawaban TIDAK untuk Q2 (On time Delivery)</t>
  </si>
  <si>
    <t>- Jawaban TIDAK untuk Q3 (Reasonable Time)</t>
  </si>
  <si>
    <t>MRS KPI</t>
  </si>
  <si>
    <t>Not yet certified SA</t>
  </si>
  <si>
    <t>1. Unit TMS  Mobil SBE</t>
  </si>
  <si>
    <t>2. Unit  TMS Mobil Total</t>
  </si>
  <si>
    <t>1. Unit TMS  Motor SBE</t>
  </si>
  <si>
    <t>2. Unit  TMS Motor Total</t>
  </si>
  <si>
    <t>Total CPUS &amp; Non CPUS (total Unit Entry)                                         (8+9)</t>
  </si>
  <si>
    <t>d. Manpower</t>
  </si>
  <si>
    <t>Jumlah cabang SP</t>
  </si>
  <si>
    <t>c. Service Point (SP)</t>
  </si>
  <si>
    <t>Jumlah stall SP</t>
  </si>
  <si>
    <t>Jumlah kendaraan TMS SP</t>
  </si>
  <si>
    <t xml:space="preserve">Jumlah kendaraan yg diserahkan sesuai dgn waktu penyerahan </t>
  </si>
  <si>
    <t>Total SBE                                        (11+12+1314+15+16+17+18+19+20+21+22)</t>
  </si>
  <si>
    <t xml:space="preserve"> Total General Repair                                                                            (24+25)</t>
  </si>
  <si>
    <t xml:space="preserve"> Total Detail Pekerjaan Unit Non CPUS                                                  (28+29+30+31)</t>
  </si>
  <si>
    <t>Sub Total Revenue CPUS                                                          (34+35+36+37)</t>
  </si>
  <si>
    <t>Total Stall                                                                                                           (42 + 44)</t>
  </si>
  <si>
    <t>Total Teknisi                                                                                          (51+52+53+54+55+56)</t>
  </si>
  <si>
    <t>Total Teknisi Tanpa Magang                                                                      (52+53+54+55+56)</t>
  </si>
  <si>
    <t xml:space="preserve"> a.  Sub Total TMO (liter)                                                                    (78+79+80)</t>
  </si>
  <si>
    <t>Total Service Advisor                                                                                      (59+60+61+62)</t>
  </si>
  <si>
    <t>Total Foreman                                                               (64+65) atau (67+68+69)</t>
  </si>
  <si>
    <t>Total Partsman                                                                                                     (70+71+72)</t>
  </si>
  <si>
    <t>Total Personel                                                                                        (57+63+66+73+74)</t>
  </si>
  <si>
    <t>Contoh</t>
  </si>
  <si>
    <t>Detail pekerjaan yang dilakukan di Service Point</t>
  </si>
  <si>
    <t>Total unit cpus + unit non cpus</t>
  </si>
  <si>
    <t>Jumlah service point yang dimiliki bengkel</t>
  </si>
  <si>
    <t>Jam tersedia Teknisi dapat benar-benar bekerja, termasuk lembur, namun dikurangi cuti, sakit, training, dll.</t>
  </si>
  <si>
    <t>Jam actual Teknisi dalam mengerjakan pekerjaan, di luar waktu menunggu parts.</t>
  </si>
  <si>
    <t>Jam terjual kepada pelanggan berdasarkan standard flat rate yang telah ditetapkan</t>
  </si>
  <si>
    <t>Pendapatan bengkel dari jasa tenaga kerja</t>
  </si>
  <si>
    <t>Pendapatan bengkel dari SBE</t>
  </si>
  <si>
    <t>Total pendapatan</t>
  </si>
  <si>
    <t>Total SA</t>
  </si>
  <si>
    <t>Jumlah penggunaan oli genuine Toyota Mineral</t>
  </si>
  <si>
    <t>Jumlah penggunaan oli genuine Toyota Sintetik</t>
  </si>
  <si>
    <t>Jumlah penggunaan oli genuine Toyota Full Sintetik</t>
  </si>
  <si>
    <t>Jumlah penggunaan TGGO</t>
  </si>
  <si>
    <t>Total penggunaan oli non toyota</t>
  </si>
  <si>
    <t xml:space="preserve">Jumlah penggunaan oli Mineral non toyota </t>
  </si>
  <si>
    <t xml:space="preserve">Jumlah penggunaan oli Sintetik non toyota </t>
  </si>
  <si>
    <t xml:space="preserve">Jumlah penggunaan oli transmisi &amp; diff non toyota </t>
  </si>
  <si>
    <t>Jumlah unit yang menjawab tidak pada pertanyan Q1</t>
  </si>
  <si>
    <t>Jumlah kendaraan yg diserahkan sesuai dgn janji penyerahan awal (1st promise)</t>
  </si>
  <si>
    <t>Total unit yang seharusmya ditelepon dalam satu bulan</t>
  </si>
  <si>
    <t>Total unit yang dihubungi lewat telepon dalam satu bulan</t>
  </si>
  <si>
    <t>Total unit yang terhubung (diangkat &amp; ditanggapi) oleh pelanggan dalam satu bulan</t>
  </si>
  <si>
    <t>Total unit yang berhasil dihubungi dan menanggapi dalam satu bulan</t>
  </si>
  <si>
    <t>Total unit yang datang setelah diundang dalam jangka waktu 30 hari setelah dilakukannya reminder</t>
  </si>
  <si>
    <t>Jumlah pelanggan yang terhubung dibagi dengan Jumlah pelanggan yang ditelepon</t>
  </si>
  <si>
    <t>Jumlah armada mobil yang digunakan untuk servis yang dimiliki bengkel</t>
  </si>
  <si>
    <t>Jumlah armada motor yang digunakan untuk servis yang dimiliki bengkel</t>
  </si>
  <si>
    <t>Teknisi yang bukan merupakan karyawan bengkel, misalnya magang sekolah / TTEP</t>
  </si>
  <si>
    <t>Teknisi yang merupakan karyawan tetap bengkel namun belum mengikuti sertifikasi Toyota Technician</t>
  </si>
  <si>
    <t>Total teknisi yang merupakan karyawan tetap bengkel (dari yang belum bersertifikasi sampai yang sudah bersertifikasi)</t>
  </si>
  <si>
    <t>Total teknisi baik yang bukan karyawan tetap maupun yang sudah karyawan tetap bengkel</t>
  </si>
  <si>
    <t>Total Foreman</t>
  </si>
  <si>
    <t>Total penggunaan Toyota Motor Oil</t>
  </si>
  <si>
    <t>Ketersediaan parts pada satu buah WO. Tingkat kesediaan per WO hanya 0% atau 100%.</t>
  </si>
  <si>
    <t>Perbandingan jumlah part yang mampu disuplai dengan yang diorder konsumen. Tidak dilihat per WO tapi berdasarkan total.</t>
  </si>
  <si>
    <t>Menggambarkan lama hari penjualan persediaan parts yang tersedia</t>
  </si>
  <si>
    <t>Jumlah unit yang harus difollow-up (semua unit bengkel, mobile service dan service point; namun tidak termasuk unit PDS)</t>
  </si>
  <si>
    <t>Jumlah unit yang menjawab tidak pada pertanyan Q2</t>
  </si>
  <si>
    <t>Jumlah unit yang menjawab tidak pada pertanyan Q3</t>
  </si>
  <si>
    <t xml:space="preserve">Jumlah unit yang kembali karena masalah tidak terselesaikan </t>
  </si>
  <si>
    <t>Lead time dari security in sampai notifikasi ke pelanggan</t>
  </si>
  <si>
    <t>Rata-rata lead time unit SBE saja (tidak termasuk EM)</t>
  </si>
  <si>
    <t>Rata-rata lead time unit GR</t>
  </si>
  <si>
    <t>Rata-rata lead time keseluruhan bengkel</t>
  </si>
  <si>
    <t>Jumlah pelanggan yang datang setelah diundang dibandingkan unit SBE bengkel</t>
  </si>
  <si>
    <t>Jumlah pelanggan yang datang dibandingkan dengan jumlah pelanggan yang diundang</t>
  </si>
  <si>
    <t>Pendapatan bengkel dari pekerjaan luar</t>
  </si>
  <si>
    <t>Menuliskan presentase unit bengkel yang on time diserahkan berdasarkan waktu penyerahan (boleh direvisi) terhadap total unit yang dikerjakan di bengkel</t>
  </si>
  <si>
    <t>Stall yang belum digunakan</t>
  </si>
  <si>
    <t>Stall yang digunakan diluar pekerjaan service</t>
  </si>
  <si>
    <t>Detail pekerjaan yang dilakukan di bengkel dengan menggunakan stall EM</t>
  </si>
  <si>
    <t>Stall produksi yg digunakan untuk pekerjaan EM</t>
  </si>
  <si>
    <t>Stall produksi yg digunakan untuk selain pekerjaan EM</t>
  </si>
  <si>
    <t>Total stall produksi</t>
  </si>
  <si>
    <t>Jumlah unit mobil dan motor yang digunakan untuk tujuan servis kendaraan di service point</t>
  </si>
  <si>
    <t>SA yang belum disertifikasi</t>
  </si>
  <si>
    <t xml:space="preserve">Partsman belum disertifikasi </t>
  </si>
  <si>
    <t>Jumlah pelanggan yang diundang (aktual diundang) melalui DM/SMS/Phone</t>
  </si>
  <si>
    <t>Jumlah pelanggan datang setelah diundang melalui DM/SMS/Phone &lt;=30 hari</t>
  </si>
  <si>
    <t>Customer booking yang datang servis pada hari booking yang sama sesuai janjinya</t>
  </si>
  <si>
    <t>TT &amp; PT</t>
  </si>
  <si>
    <t>DMT (Engine, Electrical, Chasis)</t>
  </si>
  <si>
    <t>TSA Level 1</t>
  </si>
  <si>
    <t>TSA Level 2</t>
  </si>
  <si>
    <t>TSA Level 3</t>
  </si>
  <si>
    <r>
      <t>Foreman yang sudah disertifikasi TFT (</t>
    </r>
    <r>
      <rPr>
        <i/>
        <sz val="10"/>
        <rFont val="Arial"/>
        <family val="2"/>
      </rPr>
      <t>Toyota Foreman Training</t>
    </r>
    <r>
      <rPr>
        <sz val="10"/>
        <rFont val="Arial"/>
        <family val="2"/>
      </rPr>
      <t>)</t>
    </r>
  </si>
  <si>
    <r>
      <t>Foreman yang belum disertifikasi TFT (</t>
    </r>
    <r>
      <rPr>
        <i/>
        <sz val="10"/>
        <rFont val="Arial"/>
        <family val="2"/>
      </rPr>
      <t>Toyota Foreman Training</t>
    </r>
    <r>
      <rPr>
        <sz val="10"/>
        <rFont val="Arial"/>
        <family val="2"/>
      </rPr>
      <t>)</t>
    </r>
  </si>
  <si>
    <t>Toyota Foreman Training</t>
  </si>
  <si>
    <t>Level-2 &amp; 3</t>
  </si>
  <si>
    <t>Foreman GR yang sudah disertifikasi Toyota Technician &amp; Pro-Technician</t>
  </si>
  <si>
    <t>Teknisi yang merupakan karyawan tetap bengkel yang sudah disertifikasi Toyota Technician</t>
  </si>
  <si>
    <t>Teknisi yang merupakan karyawan tetap bengkel yang sudah disertifikasi Pro-Technician</t>
  </si>
  <si>
    <t>Teknisi yang merupakan karyawan tetap bengkel yang sudah disertifikasi Diagnose Technician</t>
  </si>
  <si>
    <t>Teknisi yang merupakan karyawan tetap bengkel yang sudah disertifikasi Diagnose Master Technician</t>
  </si>
  <si>
    <t>SA yang sudah disertifikasi TSA Level 1</t>
  </si>
  <si>
    <t>SA yang sudah disertifikasi TSA Level 2</t>
  </si>
  <si>
    <t>SA yang sudah disertifikasi TSA Level 3</t>
  </si>
  <si>
    <t>Partsman yang sudah disertifikasi Partsman Level 1</t>
  </si>
  <si>
    <t>Partsman yang sudah disertifikasi Partsman Level 2 &amp; Partsman Level 3</t>
  </si>
  <si>
    <t>Total partsman</t>
  </si>
  <si>
    <r>
      <t xml:space="preserve">Pendapatan bengkel dari penjualan </t>
    </r>
    <r>
      <rPr>
        <i/>
        <sz val="10"/>
        <rFont val="Arial"/>
        <family val="2"/>
      </rPr>
      <t>spare part</t>
    </r>
  </si>
  <si>
    <t>Pendapatan bengkel dari penjualan oli /bahan selain Toyota</t>
  </si>
  <si>
    <t>Rata-rata lead time unit EM saja (keluhan + non-keluhan)</t>
  </si>
  <si>
    <t>Foreman GR yang sudah disertifikasi Diagnose Technician</t>
  </si>
  <si>
    <t>Foreman GR yang sudah disertifikasi Diagnose Master Technician</t>
  </si>
  <si>
    <t>Jumlah kendaraan yang dikerjakan di bengkel yang diserahkan sesuai dengan janji penyerahan awal tanpa revisi</t>
  </si>
  <si>
    <t>Jumlah kendaraan yang dikerjakan di bengkel yang diserahkan sesuai dengan janji penyerahan boleh dengan revisi</t>
  </si>
  <si>
    <t>FIR Ratio                                                                                      (92 - 93 - 94 -95)/92</t>
  </si>
  <si>
    <r>
      <t xml:space="preserve">Detail pekerjaan yang dilakukan menggunakan </t>
    </r>
    <r>
      <rPr>
        <i/>
        <sz val="10"/>
        <rFont val="Arial"/>
        <family val="2"/>
      </rPr>
      <t>mobile service car</t>
    </r>
  </si>
  <si>
    <r>
      <t xml:space="preserve">Detail pekerjaan yang dilakukan menggunakan </t>
    </r>
    <r>
      <rPr>
        <i/>
        <sz val="10"/>
        <rFont val="Arial"/>
        <family val="2"/>
      </rPr>
      <t>mobile service motorcycle</t>
    </r>
  </si>
  <si>
    <r>
      <t xml:space="preserve">Unit CPUS yang masuk bengkel by </t>
    </r>
    <r>
      <rPr>
        <i/>
        <sz val="10"/>
        <rFont val="Arial"/>
        <family val="2"/>
      </rPr>
      <t>Repair Order</t>
    </r>
    <r>
      <rPr>
        <sz val="10"/>
        <rFont val="Arial"/>
        <family val="2"/>
      </rPr>
      <t xml:space="preserve"> (1 no polisi)</t>
    </r>
  </si>
  <si>
    <r>
      <t xml:space="preserve">Unit non CPUS yang masuk bengkel by </t>
    </r>
    <r>
      <rPr>
        <i/>
        <sz val="10"/>
        <rFont val="Arial"/>
        <family val="2"/>
      </rPr>
      <t>Repair Order</t>
    </r>
    <r>
      <rPr>
        <sz val="10"/>
        <rFont val="Arial"/>
        <family val="2"/>
      </rPr>
      <t xml:space="preserve"> (1 no polisi)</t>
    </r>
  </si>
  <si>
    <t>a. Oli Mesin Non TOYOTA                                                                      (85+86)</t>
  </si>
  <si>
    <t>* Detail pekerjaan dari unit yang masuk bengkel termasuk unit TMS mobil &amp; Motor dan Service Point</t>
  </si>
  <si>
    <t>*  1 Repair Order (1 no polisi) bisa melakukan beberapa pekerjaan</t>
  </si>
  <si>
    <r>
      <t xml:space="preserve">* Total unit entry (point no 10) akan </t>
    </r>
    <r>
      <rPr>
        <b/>
        <sz val="10"/>
        <rFont val="Arial"/>
        <family val="2"/>
      </rPr>
      <t>lebih kecil (atau sama dengan)</t>
    </r>
    <r>
      <rPr>
        <sz val="10"/>
        <rFont val="Arial"/>
        <family val="2"/>
      </rPr>
      <t xml:space="preserve"> dari total unit detail pekerjaan</t>
    </r>
  </si>
  <si>
    <r>
      <t xml:space="preserve">Jumlah unit yang berhasil dihubungi dan menanggapi </t>
    </r>
    <r>
      <rPr>
        <sz val="10"/>
        <color rgb="FFC00000"/>
        <rFont val="Arial"/>
        <family val="2"/>
      </rPr>
      <t xml:space="preserve">(point no 92 </t>
    </r>
    <r>
      <rPr>
        <b/>
        <sz val="10"/>
        <color rgb="FFC00000"/>
        <rFont val="Arial"/>
        <family val="2"/>
      </rPr>
      <t>lebih kecil /sama dengan</t>
    </r>
    <r>
      <rPr>
        <sz val="10"/>
        <color rgb="FFC00000"/>
        <rFont val="Arial"/>
        <family val="2"/>
      </rPr>
      <t xml:space="preserve"> point no.91)</t>
    </r>
  </si>
  <si>
    <t>ABSORPTION RATE</t>
  </si>
  <si>
    <t>Jumlah penggunaan listrik</t>
  </si>
  <si>
    <r>
      <t xml:space="preserve">Kontribusi MRS - Come After Invited                                                       </t>
    </r>
    <r>
      <rPr>
        <b/>
        <sz val="10"/>
        <rFont val="Arial"/>
        <family val="2"/>
      </rPr>
      <t xml:space="preserve">  (109/106)   </t>
    </r>
  </si>
  <si>
    <r>
      <t xml:space="preserve">Kontribusi MRS terhadap SBE                                                                </t>
    </r>
    <r>
      <rPr>
        <b/>
        <sz val="10"/>
        <rFont val="Arial"/>
        <family val="2"/>
      </rPr>
      <t xml:space="preserve">  (109/23)      </t>
    </r>
    <r>
      <rPr>
        <sz val="10"/>
        <rFont val="Arial"/>
        <family val="2"/>
      </rPr>
      <t xml:space="preserve">                                      </t>
    </r>
  </si>
  <si>
    <r>
      <t xml:space="preserve">Database Valid                                                                                       </t>
    </r>
    <r>
      <rPr>
        <b/>
        <sz val="10"/>
        <rFont val="Arial"/>
        <family val="2"/>
      </rPr>
      <t xml:space="preserve">  (108/107)</t>
    </r>
  </si>
  <si>
    <t>Persentase dari pengeluaran dealer yang dicover oleh profit service dan part. (isi pada tab "absorption rate 2015 &amp; 2016")</t>
  </si>
  <si>
    <t>GROSS PROFIT</t>
  </si>
  <si>
    <t>Gross Profit %</t>
  </si>
  <si>
    <t>Gross Profit Rp.</t>
  </si>
  <si>
    <t>Gross Profit bengkel dalam satuan rupiah</t>
  </si>
  <si>
    <t>Gross proofit bengkel dalam satuan presentase</t>
  </si>
  <si>
    <t>Rp. 100.000.000</t>
  </si>
  <si>
    <r>
      <t xml:space="preserve">On Time Delivery                                                                           </t>
    </r>
    <r>
      <rPr>
        <b/>
        <sz val="10"/>
        <rFont val="Arial"/>
        <family val="2"/>
      </rPr>
      <t xml:space="preserve">  (103 / (10-2-4-6-31))</t>
    </r>
  </si>
  <si>
    <t xml:space="preserve">   Contoh : No pol B123TAM datang ke bengkel untuk melakukan service berkala ke-2 (10 K) dan ada keluhan di stir (warranty)</t>
  </si>
  <si>
    <t xml:space="preserve">               - Secara perhitungan unit entry masuk unit CPUS</t>
  </si>
  <si>
    <t xml:space="preserve">               - Pencatatan di detail pekerjaan masuk unit SBE servis ke-2 (10K) dan unit warranty</t>
  </si>
  <si>
    <t>Servis ke-2 (10 km) saja</t>
  </si>
  <si>
    <t>Servis ke-3 (20 km) saja</t>
  </si>
  <si>
    <t>Servis ke-4 (30 km) saja</t>
  </si>
  <si>
    <t>Servis ke-5 (40 km) saja</t>
  </si>
  <si>
    <t>Servis ke-6 (50 km) saja</t>
  </si>
  <si>
    <t>Servis ke-7 (60 km) saja</t>
  </si>
  <si>
    <t>Servis ke-8 (70 km) saja</t>
  </si>
  <si>
    <t>Servis ke-9 (80 km) saja</t>
  </si>
  <si>
    <t>Servis ke-10 (90 km) saja</t>
  </si>
  <si>
    <t>Servis ke-11 (100 km) saja</t>
  </si>
  <si>
    <t>Servis ke-1 Penjualan outlet yang sama</t>
  </si>
  <si>
    <t>Servis ke-1 Total</t>
  </si>
  <si>
    <t>Servis Berkala Internal / Servis ke-1 (1K)</t>
  </si>
  <si>
    <t>Total Servis ke-1 Total harus lebih besar atau sama dengan Servis ke-1 penjualan outlet yang sama [27] ≤ [28]</t>
  </si>
  <si>
    <t>Jumlah stall yang dialokasikan untuk servis kendaraan di service point</t>
  </si>
  <si>
    <t>VOC ( Voice of Customer)</t>
  </si>
  <si>
    <t>Service VOC Quantity</t>
  </si>
  <si>
    <t>jumlah VOC servis</t>
  </si>
  <si>
    <t>Total VOC servis dibandingkan dengan Total unit entry non THS &amp; SP</t>
  </si>
  <si>
    <t>VOC Quality</t>
  </si>
  <si>
    <t>Jumalh VOC servis yang berkualitas</t>
  </si>
  <si>
    <t>Total VOC servis yang berkualitas dibandingkan dengan Total unit entry non THS &amp; SP</t>
  </si>
  <si>
    <t>Hansa Renkei</t>
  </si>
  <si>
    <t>Leads SA to Sales</t>
  </si>
  <si>
    <t>Delivery Order (DO) SA to Sales</t>
  </si>
  <si>
    <t>Booking Request by Sales</t>
  </si>
  <si>
    <t>Booked show by sales</t>
  </si>
  <si>
    <t>Jumlah sales prospek yang didapatkan dari Service Advisor dan dikirimkan ke team sales setiap bulan</t>
  </si>
  <si>
    <t>Jumlah penjualan mobil yang didapatkan karena rekomendasi/referensi dari Service Advisor setiap bulan</t>
  </si>
  <si>
    <t>Jumlah customer melakukan Booking service yang dilakukan oleh salesman setiap bulan</t>
  </si>
  <si>
    <t>Jumlah pelanggan yang datang setelah booking servis oleh salesman setiap bulan</t>
  </si>
  <si>
    <t>Vehicle Sales Incentive &amp; Commission Rp.</t>
  </si>
  <si>
    <t>Selling, Operating and Overhead Expanse Rp.</t>
  </si>
  <si>
    <r>
      <t xml:space="preserve">VOC Quantity (%)                                                                               </t>
    </r>
    <r>
      <rPr>
        <b/>
        <sz val="10"/>
        <rFont val="Arial"/>
        <family val="2"/>
      </rPr>
      <t>(119/(10-2-4-6-31))</t>
    </r>
  </si>
  <si>
    <r>
      <t xml:space="preserve">VOC Quality (%)                                                                                </t>
    </r>
    <r>
      <rPr>
        <b/>
        <sz val="10"/>
        <rFont val="Arial"/>
        <family val="2"/>
      </rPr>
      <t xml:space="preserve"> (121/(10-2-4-6-31))</t>
    </r>
  </si>
  <si>
    <t>Network Speed</t>
  </si>
  <si>
    <t>3 Mbps</t>
  </si>
  <si>
    <t>2 Mbps</t>
  </si>
  <si>
    <t>Kecepatan internet di area workshop untuk akses server jepang (GTS online)</t>
  </si>
  <si>
    <t>Kecepatan internet di area PDI/PDS untuk akses server jepang (GTS online)</t>
  </si>
  <si>
    <t>Total Stall</t>
  </si>
  <si>
    <t>ECO- DEALERSHIP</t>
  </si>
  <si>
    <t>Konsumsi air (meter kubik)</t>
  </si>
  <si>
    <t>Berat Sampah (kg)</t>
  </si>
  <si>
    <t>DPOK (Dealer Part Operation Kaizen)</t>
  </si>
  <si>
    <t>Total RO SBE yang kebutuhan partnya tersupply dalam 10 menit</t>
  </si>
  <si>
    <t>Jumlah Total RO SBE</t>
  </si>
  <si>
    <t>Immidiate Fill Rate</t>
  </si>
  <si>
    <t>Total RO dg Special Order Part yang bisa disupply sesuai waktu Appointment</t>
  </si>
  <si>
    <t>Jumlah Total RO dengan Special Order Part</t>
  </si>
  <si>
    <t xml:space="preserve">Parts Arrival Rate before Repair </t>
  </si>
  <si>
    <t>Stock Efficiency</t>
  </si>
  <si>
    <t>Stock Item (Total stock item part number dalam satu bulan)</t>
  </si>
  <si>
    <t>No-Show Rate</t>
  </si>
  <si>
    <r>
      <t xml:space="preserve">                                                  </t>
    </r>
    <r>
      <rPr>
        <b/>
        <sz val="10"/>
        <rFont val="Arial"/>
        <family val="2"/>
      </rPr>
      <t xml:space="preserve">    (129/130)</t>
    </r>
  </si>
  <si>
    <r>
      <t xml:space="preserve">                                                  </t>
    </r>
    <r>
      <rPr>
        <b/>
        <sz val="10"/>
        <rFont val="Arial"/>
        <family val="2"/>
      </rPr>
      <t xml:space="preserve">    (131/132)</t>
    </r>
  </si>
  <si>
    <t>Jumlah konsumsi air</t>
  </si>
  <si>
    <t>Total berat sampah dicabang selama satu bulan</t>
  </si>
  <si>
    <t xml:space="preserve">Jumlah RO/PKB khusus SBE yang kebutuhan s.partnya dapat tersupply dalam 10 menit </t>
  </si>
  <si>
    <t>Jumlah Total RO/PKB SBE yang melakukan order s.part</t>
  </si>
  <si>
    <t xml:space="preserve">Ketersediaan parts dalam waktu 10 menit pada satu buah WO khusus untuk part SBE </t>
  </si>
  <si>
    <t>Total RO/PKB dg Special Order Part yang bisa disupply sesuai waktu Appointment Customer</t>
  </si>
  <si>
    <t xml:space="preserve">Ketersediaan Special Order Part dibandingkan terhadap appoinment customer </t>
  </si>
  <si>
    <t>Efektivitas stok terhadap permintaan customer</t>
  </si>
  <si>
    <t>Total item part number dalam bulan</t>
  </si>
  <si>
    <t>Persentase spesial order part yang batal karena customer no show</t>
  </si>
  <si>
    <t>Workshop : Actual Network Speed</t>
  </si>
  <si>
    <t>PDS Cabang : Actual Network Speed</t>
  </si>
  <si>
    <t>How to collect : akses ke speedtest.net. URL: [http://legacy.speedtest.net/] dan pilih server Tokyo ( OPEN Project), tunggu sebentar kemudian isi berapa kecepatan download saat jam kerja.</t>
  </si>
  <si>
    <t>Intensif dan komisi untuk pihak terkait pada penjualan mobil baru</t>
  </si>
  <si>
    <t>Biaya cabang untuk penjualan, operasional cabang keseluruhan dan overhead cabang</t>
  </si>
  <si>
    <t>13.5</t>
  </si>
  <si>
    <t>14.4</t>
  </si>
  <si>
    <t>10.8</t>
  </si>
  <si>
    <t>20 Mbps</t>
  </si>
  <si>
    <t>10 Mbps</t>
  </si>
  <si>
    <t>16.8</t>
  </si>
  <si>
    <t>17.5%</t>
  </si>
  <si>
    <t>11.7%</t>
  </si>
  <si>
    <t>15.3</t>
  </si>
  <si>
    <t xml:space="preserve">LAPORAN SERVICE GENERAL REPAIR - UNIT BY MODEL </t>
  </si>
  <si>
    <t>BULAN :</t>
  </si>
  <si>
    <t>Auto2000 Banyuwangi</t>
  </si>
  <si>
    <t>AS154</t>
  </si>
  <si>
    <t>(Data di laporkan ke TAM setiap tanggal 25)</t>
  </si>
  <si>
    <t>No</t>
  </si>
  <si>
    <t>Unit CPUS By Model</t>
  </si>
  <si>
    <t>Agya</t>
  </si>
  <si>
    <t>Alphard</t>
  </si>
  <si>
    <t>Avanza</t>
  </si>
  <si>
    <t>Camry</t>
  </si>
  <si>
    <t>Corolla Altis</t>
  </si>
  <si>
    <t>Dyna</t>
  </si>
  <si>
    <t>Etios Valco</t>
  </si>
  <si>
    <t>FJCruiser</t>
  </si>
  <si>
    <t>Fortuner</t>
  </si>
  <si>
    <t>Hiace</t>
  </si>
  <si>
    <t>Hilux</t>
  </si>
  <si>
    <t>Kijang Kapsul</t>
  </si>
  <si>
    <t>Kijang Innova</t>
  </si>
  <si>
    <t>Land Cruiser</t>
  </si>
  <si>
    <t>Limo</t>
  </si>
  <si>
    <t>Nav1</t>
  </si>
  <si>
    <t>Prius</t>
  </si>
  <si>
    <t>Rush</t>
  </si>
  <si>
    <t>Vios</t>
  </si>
  <si>
    <t>Yaris</t>
  </si>
  <si>
    <t>Sienta</t>
  </si>
  <si>
    <t>Calya</t>
  </si>
  <si>
    <t>CBU  TAM</t>
  </si>
  <si>
    <t>CBU non TAM</t>
  </si>
  <si>
    <t>a. Unit CPUS By Model</t>
  </si>
  <si>
    <t>Total Servis Berkala Eks</t>
  </si>
  <si>
    <t>(1+2+3+4+5+6+7+8+9+10+11+12)</t>
  </si>
  <si>
    <t>Sub Total General Repair</t>
  </si>
  <si>
    <t>(14+15)</t>
  </si>
  <si>
    <t>Total Unit CPUS</t>
  </si>
  <si>
    <t>(13+16)</t>
  </si>
  <si>
    <t>b. Unit Non CPUS</t>
  </si>
  <si>
    <t>Servis Berkala Internal 1K</t>
  </si>
  <si>
    <t>1K Penjualan outlet yang sama</t>
  </si>
  <si>
    <t>1K Total</t>
  </si>
  <si>
    <t>Sub Total Non CPUS</t>
  </si>
  <si>
    <t>(19+20+21+22)</t>
  </si>
  <si>
    <t>JUMLAH TOTAL UNIT ENTRY</t>
  </si>
  <si>
    <t>(17+23)</t>
  </si>
  <si>
    <t xml:space="preserve">REVENUE BY MODEL [Rupiah aktual yang diterima bengkel setelah harga diskon] </t>
  </si>
  <si>
    <t>Sub Total Revenue CPUS</t>
  </si>
  <si>
    <t>(25+26+27+28)</t>
  </si>
  <si>
    <t>12.6</t>
  </si>
  <si>
    <t>6.7%</t>
  </si>
  <si>
    <t>10.2%</t>
  </si>
  <si>
    <t>9.6</t>
  </si>
  <si>
    <t>7.8</t>
  </si>
  <si>
    <t>Contact Ratio by Salesperson</t>
  </si>
  <si>
    <t>CAI (Come After Invited) Ratio by Salesperson</t>
  </si>
  <si>
    <t>No. of WO contribution from BP-SA</t>
  </si>
  <si>
    <t>11.0</t>
  </si>
  <si>
    <t>Return Job</t>
  </si>
  <si>
    <t>RTJ Rate</t>
  </si>
  <si>
    <t>PSFU</t>
  </si>
  <si>
    <t>jumlah total ue yang di PSFU</t>
  </si>
  <si>
    <t>Unet Entry</t>
  </si>
  <si>
    <t>Succes Call PSFU</t>
  </si>
  <si>
    <t>Succes Call PSFU Rate</t>
  </si>
  <si>
    <t>LEADTIME</t>
  </si>
  <si>
    <t>Ledtime Total</t>
  </si>
  <si>
    <t>Target Leadtime Total</t>
  </si>
  <si>
    <t>Leadtime SBE</t>
  </si>
  <si>
    <t>Target Leadtime SBE</t>
  </si>
  <si>
    <t>Achievement</t>
  </si>
  <si>
    <t>Leadtime EM</t>
  </si>
  <si>
    <t>Target Leadtime EM</t>
  </si>
  <si>
    <t>ONTIME DELIVERY</t>
  </si>
  <si>
    <t>1st Promise</t>
  </si>
  <si>
    <t>1st Promise rate (%)</t>
  </si>
  <si>
    <t>EXPRESS MAINTENANCE</t>
  </si>
  <si>
    <t>unit EM</t>
  </si>
  <si>
    <t>% EM</t>
  </si>
  <si>
    <t>Unit SBE</t>
  </si>
  <si>
    <t>APPOINMENT</t>
  </si>
  <si>
    <t>Jumlah booking</t>
  </si>
  <si>
    <t>App. Rate</t>
  </si>
  <si>
    <t>CPUS</t>
  </si>
  <si>
    <t>CPUS Rate</t>
  </si>
  <si>
    <t>SBI</t>
  </si>
  <si>
    <t xml:space="preserve">SBI Total </t>
  </si>
  <si>
    <t>SBI Same Outlet</t>
  </si>
  <si>
    <t>SBI Same Outlet (%)</t>
  </si>
  <si>
    <t>DTR</t>
  </si>
  <si>
    <t>Qwantity</t>
  </si>
  <si>
    <t>Qwality</t>
  </si>
  <si>
    <t>CPS</t>
  </si>
  <si>
    <t>Revenue Part(x 1000)</t>
  </si>
  <si>
    <t>Comsumption Part per Service</t>
  </si>
  <si>
    <t>EM Contribution</t>
  </si>
  <si>
    <t>Ach</t>
  </si>
  <si>
    <t>App Rate</t>
  </si>
  <si>
    <t>TMO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</si>
</sst>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General&quot;K km saja&quot;"/>
    <numFmt numFmtId="166" formatCode="_(* #,##0_);_(* \(#,##0\);_(* &quot;-&quot;??_);_(@_)"/>
    <numFmt numFmtId="167" formatCode="_(* #,##0.00_);_(* \(#,##0.00\);_(* \-??_);_(@_)"/>
    <numFmt numFmtId="168" formatCode="[h]:mm:ss;@"/>
    <numFmt numFmtId="169" formatCode="_-* #,##0.00_-;\-* #,##0.00_-;_-* \-??_-;_-@_-"/>
    <numFmt numFmtId="170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20"/>
      <name val="Arial"/>
      <family val="2"/>
    </font>
    <font>
      <sz val="11"/>
      <name val="Calibri"/>
      <family val="2"/>
      <scheme val="minor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1"/>
      <color indexed="8"/>
      <name val="Calibri"/>
      <family val="2"/>
    </font>
    <font>
      <sz val="9"/>
      <name val="Arial MT"/>
    </font>
    <font>
      <b/>
      <sz val="7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20"/>
      <color indexed="8"/>
      <name val="Arial"/>
      <family val="2"/>
    </font>
    <font>
      <sz val="10"/>
      <name val="Microsoft Sans Serif"/>
      <family val="2"/>
    </font>
    <font>
      <b/>
      <sz val="12"/>
      <name val="Microsoft Sans Serif"/>
      <family val="2"/>
    </font>
    <font>
      <sz val="11"/>
      <name val="Microsoft Sans Serif"/>
      <family val="2"/>
    </font>
    <font>
      <b/>
      <sz val="10"/>
      <name val="Microsoft Sans Serif"/>
      <family val="2"/>
    </font>
    <font>
      <b/>
      <sz val="11"/>
      <name val="Microsoft Sans Serif"/>
      <family val="2"/>
    </font>
    <font>
      <sz val="10"/>
      <color rgb="FF000000"/>
      <name val="Arial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64"/>
      </bottom>
      <diagonal/>
    </border>
    <border>
      <left/>
      <right/>
      <top style="thin">
        <color indexed="8"/>
      </top>
      <bottom style="double">
        <color indexed="64"/>
      </bottom>
      <diagonal/>
    </border>
    <border>
      <left/>
      <right style="thin">
        <color indexed="8"/>
      </right>
      <top style="thin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double">
        <color indexed="64"/>
      </bottom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7" fontId="3" fillId="0" borderId="0" applyFill="0" applyBorder="0" applyProtection="0">
      <alignment vertical="top"/>
    </xf>
    <xf numFmtId="9" fontId="3" fillId="0" borderId="0" applyFont="0" applyFill="0" applyBorder="0" applyAlignment="0" applyProtection="0"/>
    <xf numFmtId="0" fontId="3" fillId="0" borderId="0"/>
    <xf numFmtId="9" fontId="3" fillId="0" borderId="0" applyFill="0" applyBorder="0" applyProtection="0">
      <alignment vertical="top"/>
    </xf>
    <xf numFmtId="0" fontId="1" fillId="0" borderId="0"/>
    <xf numFmtId="9" fontId="1" fillId="0" borderId="0" applyFont="0" applyFill="0" applyBorder="0" applyAlignment="0" applyProtection="0"/>
    <xf numFmtId="0" fontId="15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5" fillId="0" borderId="0"/>
    <xf numFmtId="9" fontId="15" fillId="0" borderId="0"/>
    <xf numFmtId="164" fontId="3" fillId="0" borderId="0" applyFont="0" applyFill="0" applyBorder="0" applyAlignment="0" applyProtection="0"/>
    <xf numFmtId="0" fontId="16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>
      <alignment vertical="top"/>
    </xf>
    <xf numFmtId="0" fontId="3" fillId="0" borderId="0"/>
    <xf numFmtId="0" fontId="3" fillId="0" borderId="0">
      <alignment vertical="top"/>
    </xf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9" fillId="0" borderId="0"/>
  </cellStyleXfs>
  <cellXfs count="661">
    <xf numFmtId="0" fontId="0" fillId="0" borderId="0" xfId="0"/>
    <xf numFmtId="0" fontId="2" fillId="0" borderId="0" xfId="0" applyFont="1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3" fillId="0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2" fillId="0" borderId="0" xfId="0" applyFont="1" applyFill="1" applyAlignment="1" applyProtection="1">
      <alignment horizontal="right" vertical="center"/>
    </xf>
    <xf numFmtId="0" fontId="3" fillId="0" borderId="0" xfId="0" applyFont="1" applyAlignment="1" applyProtection="1">
      <alignment horizontal="right" vertical="center"/>
    </xf>
    <xf numFmtId="0" fontId="3" fillId="0" borderId="0" xfId="0" applyFont="1" applyFill="1" applyAlignment="1" applyProtection="1">
      <alignment horizontal="right" vertical="center"/>
    </xf>
    <xf numFmtId="0" fontId="2" fillId="0" borderId="0" xfId="0" applyFont="1" applyAlignment="1" applyProtection="1">
      <alignment horizontal="right" vertical="center"/>
    </xf>
    <xf numFmtId="0" fontId="2" fillId="0" borderId="0" xfId="0" applyNumberFormat="1" applyFont="1" applyFill="1" applyAlignment="1" applyProtection="1">
      <alignment horizontal="right" vertical="center"/>
    </xf>
    <xf numFmtId="0" fontId="3" fillId="0" borderId="0" xfId="0" applyNumberFormat="1" applyFont="1" applyAlignment="1" applyProtection="1">
      <alignment horizontal="right" vertical="center"/>
    </xf>
    <xf numFmtId="0" fontId="3" fillId="0" borderId="0" xfId="0" applyNumberFormat="1" applyFont="1" applyFill="1" applyAlignment="1" applyProtection="1">
      <alignment horizontal="right" vertical="center"/>
    </xf>
    <xf numFmtId="0" fontId="2" fillId="0" borderId="0" xfId="0" applyNumberFormat="1" applyFont="1" applyAlignment="1" applyProtection="1">
      <alignment horizontal="right" vertical="center"/>
    </xf>
    <xf numFmtId="0" fontId="3" fillId="0" borderId="0" xfId="0" applyFont="1" applyFill="1" applyBorder="1" applyAlignment="1" applyProtection="1">
      <alignment horizontal="center" vertical="center"/>
    </xf>
    <xf numFmtId="0" fontId="2" fillId="3" borderId="7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3" fillId="0" borderId="0" xfId="0" applyNumberFormat="1" applyFont="1" applyBorder="1" applyAlignment="1" applyProtection="1">
      <alignment horizontal="right" vertical="center"/>
    </xf>
    <xf numFmtId="0" fontId="3" fillId="0" borderId="9" xfId="0" applyNumberFormat="1" applyFont="1" applyFill="1" applyBorder="1" applyAlignment="1" applyProtection="1">
      <alignment horizontal="right" vertical="center"/>
    </xf>
    <xf numFmtId="165" fontId="3" fillId="0" borderId="1" xfId="0" applyNumberFormat="1" applyFont="1" applyFill="1" applyBorder="1" applyAlignment="1" applyProtection="1">
      <alignment horizontal="left" vertical="center"/>
    </xf>
    <xf numFmtId="166" fontId="2" fillId="2" borderId="1" xfId="1" applyNumberFormat="1" applyFont="1" applyFill="1" applyBorder="1" applyAlignment="1" applyProtection="1">
      <alignment horizontal="center" vertical="center"/>
    </xf>
    <xf numFmtId="1" fontId="3" fillId="0" borderId="18" xfId="1" applyNumberFormat="1" applyFont="1" applyFill="1" applyBorder="1" applyAlignment="1" applyProtection="1">
      <alignment horizontal="right" vertical="center"/>
      <protection locked="0"/>
    </xf>
    <xf numFmtId="1" fontId="3" fillId="0" borderId="1" xfId="0" applyNumberFormat="1" applyFont="1" applyFill="1" applyBorder="1" applyAlignment="1" applyProtection="1">
      <alignment horizontal="right" vertical="center"/>
      <protection locked="0"/>
    </xf>
    <xf numFmtId="1" fontId="3" fillId="0" borderId="19" xfId="1" applyNumberFormat="1" applyFont="1" applyFill="1" applyBorder="1" applyAlignment="1" applyProtection="1">
      <alignment horizontal="right" vertical="center"/>
      <protection locked="0"/>
    </xf>
    <xf numFmtId="1" fontId="3" fillId="0" borderId="1" xfId="1" applyNumberFormat="1" applyFont="1" applyFill="1" applyBorder="1" applyAlignment="1" applyProtection="1">
      <alignment horizontal="right" vertical="center"/>
      <protection locked="0"/>
    </xf>
    <xf numFmtId="1" fontId="3" fillId="0" borderId="14" xfId="1" applyNumberFormat="1" applyFont="1" applyFill="1" applyBorder="1" applyAlignment="1" applyProtection="1">
      <alignment horizontal="right" vertical="center"/>
      <protection locked="0"/>
    </xf>
    <xf numFmtId="1" fontId="3" fillId="0" borderId="14" xfId="4" applyNumberFormat="1" applyFont="1" applyFill="1" applyBorder="1" applyAlignment="1" applyProtection="1">
      <alignment horizontal="right" vertical="center"/>
      <protection locked="0"/>
    </xf>
    <xf numFmtId="1" fontId="3" fillId="0" borderId="13" xfId="1" applyNumberFormat="1" applyFont="1" applyFill="1" applyBorder="1" applyAlignment="1" applyProtection="1">
      <alignment horizontal="right" vertical="center"/>
      <protection locked="0"/>
    </xf>
    <xf numFmtId="1" fontId="3" fillId="0" borderId="20" xfId="1" applyNumberFormat="1" applyFont="1" applyFill="1" applyBorder="1" applyAlignment="1" applyProtection="1">
      <alignment horizontal="right" vertical="center"/>
      <protection locked="0"/>
    </xf>
    <xf numFmtId="0" fontId="3" fillId="0" borderId="1" xfId="0" applyFont="1" applyFill="1" applyBorder="1" applyAlignment="1" applyProtection="1">
      <alignment vertical="center" wrapText="1"/>
    </xf>
    <xf numFmtId="1" fontId="3" fillId="0" borderId="21" xfId="1" applyNumberFormat="1" applyFont="1" applyFill="1" applyBorder="1" applyAlignment="1" applyProtection="1">
      <alignment horizontal="right" vertical="center"/>
      <protection locked="0"/>
    </xf>
    <xf numFmtId="1" fontId="3" fillId="0" borderId="0" xfId="1" applyNumberFormat="1" applyFont="1" applyFill="1" applyBorder="1" applyAlignment="1" applyProtection="1">
      <alignment horizontal="right" vertical="center"/>
      <protection locked="0"/>
    </xf>
    <xf numFmtId="0" fontId="3" fillId="0" borderId="1" xfId="0" applyFont="1" applyFill="1" applyBorder="1" applyAlignment="1" applyProtection="1">
      <alignment vertical="center"/>
    </xf>
    <xf numFmtId="1" fontId="3" fillId="0" borderId="23" xfId="1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Fill="1" applyBorder="1" applyAlignment="1" applyProtection="1">
      <alignment vertical="center"/>
    </xf>
    <xf numFmtId="0" fontId="2" fillId="0" borderId="11" xfId="0" applyFont="1" applyFill="1" applyBorder="1" applyAlignment="1" applyProtection="1">
      <alignment vertical="center"/>
    </xf>
    <xf numFmtId="0" fontId="2" fillId="0" borderId="1" xfId="0" applyFont="1" applyFill="1" applyBorder="1" applyAlignment="1" applyProtection="1">
      <alignment horizontal="right" vertical="center"/>
    </xf>
    <xf numFmtId="0" fontId="2" fillId="0" borderId="1" xfId="0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2" fillId="0" borderId="12" xfId="0" applyFont="1" applyFill="1" applyBorder="1" applyAlignment="1" applyProtection="1">
      <alignment horizontal="right" vertical="center"/>
    </xf>
    <xf numFmtId="1" fontId="3" fillId="0" borderId="27" xfId="1" applyNumberFormat="1" applyFont="1" applyFill="1" applyBorder="1" applyAlignment="1" applyProtection="1">
      <alignment horizontal="right" vertical="center"/>
      <protection locked="0"/>
    </xf>
    <xf numFmtId="1" fontId="3" fillId="0" borderId="28" xfId="1" applyNumberFormat="1" applyFont="1" applyFill="1" applyBorder="1" applyAlignment="1" applyProtection="1">
      <alignment horizontal="right" vertical="center"/>
      <protection locked="0"/>
    </xf>
    <xf numFmtId="1" fontId="3" fillId="0" borderId="28" xfId="4" applyNumberFormat="1" applyFont="1" applyFill="1" applyBorder="1" applyAlignment="1" applyProtection="1">
      <alignment horizontal="right" vertical="center"/>
      <protection locked="0"/>
    </xf>
    <xf numFmtId="1" fontId="3" fillId="0" borderId="29" xfId="1" applyNumberFormat="1" applyFont="1" applyFill="1" applyBorder="1" applyAlignment="1" applyProtection="1">
      <alignment horizontal="right" vertical="center"/>
      <protection locked="0"/>
    </xf>
    <xf numFmtId="1" fontId="3" fillId="0" borderId="32" xfId="1" applyNumberFormat="1" applyFont="1" applyFill="1" applyBorder="1" applyAlignment="1" applyProtection="1">
      <alignment horizontal="right" vertical="center"/>
      <protection locked="0"/>
    </xf>
    <xf numFmtId="1" fontId="3" fillId="0" borderId="33" xfId="1" applyNumberFormat="1" applyFont="1" applyFill="1" applyBorder="1" applyAlignment="1" applyProtection="1">
      <alignment horizontal="right" vertical="center"/>
      <protection locked="0"/>
    </xf>
    <xf numFmtId="1" fontId="3" fillId="0" borderId="33" xfId="4" applyNumberFormat="1" applyFont="1" applyFill="1" applyBorder="1" applyAlignment="1" applyProtection="1">
      <alignment horizontal="right" vertical="center"/>
      <protection locked="0"/>
    </xf>
    <xf numFmtId="1" fontId="3" fillId="0" borderId="34" xfId="1" applyNumberFormat="1" applyFont="1" applyFill="1" applyBorder="1" applyAlignment="1" applyProtection="1">
      <alignment horizontal="right" vertical="center"/>
      <protection locked="0"/>
    </xf>
    <xf numFmtId="0" fontId="4" fillId="0" borderId="0" xfId="0" applyFont="1" applyFill="1" applyAlignment="1" applyProtection="1">
      <alignment vertical="center"/>
    </xf>
    <xf numFmtId="0" fontId="2" fillId="0" borderId="26" xfId="0" applyFont="1" applyFill="1" applyBorder="1" applyAlignment="1" applyProtection="1">
      <alignment horizontal="right" vertical="center"/>
    </xf>
    <xf numFmtId="0" fontId="2" fillId="0" borderId="17" xfId="0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 applyProtection="1">
      <alignment vertical="center"/>
    </xf>
    <xf numFmtId="0" fontId="3" fillId="0" borderId="17" xfId="0" applyFont="1" applyFill="1" applyBorder="1" applyAlignment="1" applyProtection="1">
      <alignment horizontal="center" vertical="center"/>
    </xf>
    <xf numFmtId="1" fontId="2" fillId="0" borderId="1" xfId="5" applyNumberFormat="1" applyFont="1" applyFill="1" applyBorder="1" applyAlignment="1" applyProtection="1">
      <alignment horizontal="right" vertical="center"/>
      <protection locked="0"/>
    </xf>
    <xf numFmtId="1" fontId="2" fillId="0" borderId="33" xfId="5" applyNumberFormat="1" applyFont="1" applyFill="1" applyBorder="1" applyAlignment="1" applyProtection="1">
      <alignment horizontal="right" vertical="center"/>
      <protection locked="0"/>
    </xf>
    <xf numFmtId="1" fontId="2" fillId="0" borderId="1" xfId="5" applyNumberFormat="1" applyFont="1" applyBorder="1" applyAlignment="1" applyProtection="1">
      <alignment horizontal="right" vertical="center"/>
      <protection locked="0"/>
    </xf>
    <xf numFmtId="1" fontId="2" fillId="0" borderId="20" xfId="5" applyNumberFormat="1" applyFont="1" applyFill="1" applyBorder="1" applyAlignment="1" applyProtection="1">
      <alignment horizontal="right" vertical="center"/>
      <protection locked="0"/>
    </xf>
    <xf numFmtId="1" fontId="3" fillId="0" borderId="15" xfId="4" applyNumberFormat="1" applyFont="1" applyFill="1" applyBorder="1" applyAlignment="1" applyProtection="1">
      <alignment horizontal="right" vertical="center"/>
      <protection locked="0"/>
    </xf>
    <xf numFmtId="0" fontId="2" fillId="0" borderId="11" xfId="0" applyFont="1" applyFill="1" applyBorder="1" applyAlignment="1" applyProtection="1">
      <alignment horizontal="left" vertical="center"/>
    </xf>
    <xf numFmtId="0" fontId="3" fillId="0" borderId="11" xfId="0" applyFont="1" applyFill="1" applyBorder="1" applyAlignment="1" applyProtection="1">
      <alignment vertical="center" wrapText="1"/>
    </xf>
    <xf numFmtId="166" fontId="3" fillId="0" borderId="1" xfId="1" applyNumberFormat="1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vertical="center"/>
    </xf>
    <xf numFmtId="166" fontId="4" fillId="2" borderId="39" xfId="1" applyNumberFormat="1" applyFont="1" applyFill="1" applyBorder="1" applyAlignment="1" applyProtection="1">
      <alignment horizontal="center" vertical="center"/>
    </xf>
    <xf numFmtId="3" fontId="3" fillId="0" borderId="40" xfId="1" applyNumberFormat="1" applyFont="1" applyFill="1" applyBorder="1" applyAlignment="1" applyProtection="1">
      <alignment horizontal="right" vertical="center"/>
    </xf>
    <xf numFmtId="3" fontId="3" fillId="0" borderId="24" xfId="1" applyNumberFormat="1" applyFont="1" applyFill="1" applyBorder="1" applyAlignment="1" applyProtection="1">
      <alignment horizontal="right" vertical="center"/>
    </xf>
    <xf numFmtId="3" fontId="3" fillId="0" borderId="40" xfId="4" applyNumberFormat="1" applyFont="1" applyFill="1" applyBorder="1" applyAlignment="1" applyProtection="1">
      <alignment horizontal="right" vertical="center"/>
    </xf>
    <xf numFmtId="43" fontId="3" fillId="0" borderId="42" xfId="1" applyFont="1" applyFill="1" applyBorder="1" applyAlignment="1" applyProtection="1">
      <alignment vertical="center"/>
    </xf>
    <xf numFmtId="1" fontId="5" fillId="0" borderId="44" xfId="1" applyNumberFormat="1" applyFont="1" applyFill="1" applyBorder="1" applyAlignment="1" applyProtection="1">
      <alignment horizontal="right" vertical="center"/>
      <protection locked="0"/>
    </xf>
    <xf numFmtId="1" fontId="4" fillId="0" borderId="38" xfId="5" applyNumberFormat="1" applyFont="1" applyFill="1" applyBorder="1" applyAlignment="1" applyProtection="1">
      <alignment horizontal="right" vertical="center"/>
      <protection locked="0"/>
    </xf>
    <xf numFmtId="1" fontId="4" fillId="0" borderId="45" xfId="5" applyNumberFormat="1" applyFont="1" applyFill="1" applyBorder="1" applyAlignment="1" applyProtection="1">
      <alignment horizontal="right" vertical="center"/>
      <protection locked="0"/>
    </xf>
    <xf numFmtId="1" fontId="4" fillId="0" borderId="46" xfId="5" applyNumberFormat="1" applyFont="1" applyFill="1" applyBorder="1" applyAlignment="1" applyProtection="1">
      <alignment horizontal="right" vertical="center"/>
      <protection locked="0"/>
    </xf>
    <xf numFmtId="1" fontId="5" fillId="0" borderId="44" xfId="4" applyNumberFormat="1" applyFont="1" applyFill="1" applyBorder="1" applyAlignment="1" applyProtection="1">
      <alignment horizontal="right" vertical="center"/>
      <protection locked="0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48" xfId="0" applyNumberFormat="1" applyFont="1" applyFill="1" applyBorder="1" applyAlignment="1" applyProtection="1">
      <alignment horizontal="right" vertical="center"/>
    </xf>
    <xf numFmtId="3" fontId="3" fillId="0" borderId="9" xfId="0" applyNumberFormat="1" applyFont="1" applyFill="1" applyBorder="1" applyAlignment="1" applyProtection="1">
      <alignment horizontal="right" vertical="center"/>
    </xf>
    <xf numFmtId="43" fontId="3" fillId="0" borderId="11" xfId="1" applyFont="1" applyFill="1" applyBorder="1" applyAlignment="1" applyProtection="1">
      <alignment vertical="center"/>
    </xf>
    <xf numFmtId="0" fontId="3" fillId="0" borderId="12" xfId="0" applyFont="1" applyFill="1" applyBorder="1" applyAlignment="1" applyProtection="1">
      <alignment vertical="center"/>
    </xf>
    <xf numFmtId="3" fontId="3" fillId="0" borderId="49" xfId="1" applyNumberFormat="1" applyFont="1" applyFill="1" applyBorder="1" applyAlignment="1" applyProtection="1">
      <alignment horizontal="right" vertical="center"/>
      <protection locked="0"/>
    </xf>
    <xf numFmtId="3" fontId="3" fillId="0" borderId="49" xfId="4" applyNumberFormat="1" applyFont="1" applyFill="1" applyBorder="1" applyAlignment="1" applyProtection="1">
      <alignment horizontal="right" vertical="center"/>
      <protection locked="0"/>
    </xf>
    <xf numFmtId="3" fontId="3" fillId="0" borderId="14" xfId="1" applyNumberFormat="1" applyFont="1" applyFill="1" applyBorder="1" applyAlignment="1" applyProtection="1">
      <alignment horizontal="right" vertical="center"/>
      <protection locked="0"/>
    </xf>
    <xf numFmtId="3" fontId="3" fillId="0" borderId="1" xfId="1" applyNumberFormat="1" applyFont="1" applyFill="1" applyBorder="1" applyAlignment="1" applyProtection="1">
      <alignment horizontal="right" vertical="center"/>
      <protection locked="0"/>
    </xf>
    <xf numFmtId="3" fontId="3" fillId="0" borderId="19" xfId="1" applyNumberFormat="1" applyFont="1" applyFill="1" applyBorder="1" applyAlignment="1" applyProtection="1">
      <alignment horizontal="right" vertical="center"/>
      <protection locked="0"/>
    </xf>
    <xf numFmtId="3" fontId="3" fillId="0" borderId="14" xfId="4" applyNumberFormat="1" applyFont="1" applyFill="1" applyBorder="1" applyAlignment="1" applyProtection="1">
      <alignment horizontal="right" vertical="center"/>
      <protection locked="0"/>
    </xf>
    <xf numFmtId="3" fontId="3" fillId="0" borderId="50" xfId="1" applyNumberFormat="1" applyFont="1" applyFill="1" applyBorder="1" applyAlignment="1" applyProtection="1">
      <alignment horizontal="right" vertical="center"/>
      <protection locked="0"/>
    </xf>
    <xf numFmtId="3" fontId="3" fillId="0" borderId="50" xfId="4" applyNumberFormat="1" applyFont="1" applyFill="1" applyBorder="1" applyAlignment="1" applyProtection="1">
      <alignment horizontal="right" vertical="center"/>
      <protection locked="0"/>
    </xf>
    <xf numFmtId="0" fontId="2" fillId="0" borderId="9" xfId="0" applyFont="1" applyFill="1" applyBorder="1" applyAlignment="1" applyProtection="1">
      <alignment vertical="center"/>
    </xf>
    <xf numFmtId="3" fontId="3" fillId="0" borderId="40" xfId="0" applyNumberFormat="1" applyFont="1" applyFill="1" applyBorder="1" applyAlignment="1" applyProtection="1">
      <alignment horizontal="right" vertical="center"/>
    </xf>
    <xf numFmtId="0" fontId="3" fillId="0" borderId="11" xfId="0" applyFont="1" applyFill="1" applyBorder="1" applyAlignment="1" applyProtection="1">
      <alignment vertical="center"/>
    </xf>
    <xf numFmtId="3" fontId="3" fillId="0" borderId="14" xfId="0" applyNumberFormat="1" applyFont="1" applyFill="1" applyBorder="1" applyAlignment="1" applyProtection="1">
      <alignment horizontal="right" vertical="center"/>
      <protection locked="0"/>
    </xf>
    <xf numFmtId="3" fontId="3" fillId="0" borderId="16" xfId="0" applyNumberFormat="1" applyFont="1" applyFill="1" applyBorder="1" applyAlignment="1" applyProtection="1">
      <alignment horizontal="right" vertical="center"/>
      <protection locked="0"/>
    </xf>
    <xf numFmtId="0" fontId="2" fillId="0" borderId="12" xfId="0" applyFont="1" applyFill="1" applyBorder="1" applyAlignment="1" applyProtection="1">
      <alignment horizontal="center" vertical="center"/>
    </xf>
    <xf numFmtId="0" fontId="3" fillId="0" borderId="26" xfId="0" applyFont="1" applyFill="1" applyBorder="1" applyAlignment="1" applyProtection="1">
      <alignment horizontal="center" vertical="center"/>
    </xf>
    <xf numFmtId="3" fontId="3" fillId="0" borderId="15" xfId="0" applyNumberFormat="1" applyFont="1" applyFill="1" applyBorder="1" applyAlignment="1" applyProtection="1">
      <alignment horizontal="right" vertical="center"/>
      <protection locked="0"/>
    </xf>
    <xf numFmtId="3" fontId="3" fillId="0" borderId="35" xfId="0" applyNumberFormat="1" applyFont="1" applyFill="1" applyBorder="1" applyAlignment="1" applyProtection="1">
      <alignment horizontal="right" vertical="center"/>
      <protection locked="0"/>
    </xf>
    <xf numFmtId="3" fontId="3" fillId="0" borderId="1" xfId="0" applyNumberFormat="1" applyFont="1" applyFill="1" applyBorder="1" applyAlignment="1" applyProtection="1">
      <alignment horizontal="right" vertical="center"/>
      <protection locked="0"/>
    </xf>
    <xf numFmtId="0" fontId="3" fillId="0" borderId="0" xfId="0" applyFont="1" applyFill="1" applyBorder="1" applyAlignment="1" applyProtection="1">
      <alignment vertical="center"/>
    </xf>
    <xf numFmtId="3" fontId="3" fillId="0" borderId="28" xfId="0" applyNumberFormat="1" applyFont="1" applyFill="1" applyBorder="1" applyAlignment="1" applyProtection="1">
      <alignment horizontal="right" vertical="center"/>
    </xf>
    <xf numFmtId="3" fontId="5" fillId="0" borderId="14" xfId="0" applyNumberFormat="1" applyFont="1" applyFill="1" applyBorder="1" applyAlignment="1" applyProtection="1">
      <alignment horizontal="right" vertical="center"/>
      <protection locked="0"/>
    </xf>
    <xf numFmtId="3" fontId="3" fillId="0" borderId="23" xfId="0" applyNumberFormat="1" applyFont="1" applyFill="1" applyBorder="1" applyAlignment="1" applyProtection="1">
      <alignment horizontal="right" vertical="center"/>
    </xf>
    <xf numFmtId="43" fontId="3" fillId="0" borderId="11" xfId="1" applyFont="1" applyFill="1" applyBorder="1" applyAlignment="1" applyProtection="1">
      <alignment vertical="center" wrapText="1"/>
    </xf>
    <xf numFmtId="166" fontId="2" fillId="2" borderId="51" xfId="1" applyNumberFormat="1" applyFont="1" applyFill="1" applyBorder="1" applyAlignment="1" applyProtection="1">
      <alignment horizontal="center" vertical="center"/>
    </xf>
    <xf numFmtId="0" fontId="2" fillId="0" borderId="1" xfId="0" applyFont="1" applyFill="1" applyBorder="1" applyAlignment="1" applyProtection="1">
      <alignment vertical="center"/>
    </xf>
    <xf numFmtId="0" fontId="2" fillId="0" borderId="11" xfId="0" applyFont="1" applyFill="1" applyBorder="1" applyAlignment="1" applyProtection="1">
      <alignment vertical="center" wrapText="1"/>
    </xf>
    <xf numFmtId="0" fontId="3" fillId="0" borderId="0" xfId="0" applyFont="1" applyFill="1" applyAlignment="1" applyProtection="1">
      <alignment vertical="center"/>
    </xf>
    <xf numFmtId="0" fontId="2" fillId="0" borderId="53" xfId="0" applyFont="1" applyFill="1" applyBorder="1" applyAlignment="1" applyProtection="1">
      <alignment vertical="center"/>
    </xf>
    <xf numFmtId="0" fontId="2" fillId="0" borderId="54" xfId="0" applyFont="1" applyFill="1" applyBorder="1" applyAlignment="1" applyProtection="1">
      <alignment vertical="center" wrapText="1"/>
    </xf>
    <xf numFmtId="0" fontId="2" fillId="0" borderId="55" xfId="0" applyFont="1" applyFill="1" applyBorder="1" applyAlignment="1" applyProtection="1">
      <alignment horizontal="right" vertical="center"/>
    </xf>
    <xf numFmtId="0" fontId="2" fillId="0" borderId="56" xfId="0" applyFont="1" applyFill="1" applyBorder="1" applyAlignment="1" applyProtection="1">
      <alignment horizontal="center" vertical="center"/>
    </xf>
    <xf numFmtId="166" fontId="2" fillId="2" borderId="53" xfId="1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right" vertical="center"/>
    </xf>
    <xf numFmtId="9" fontId="3" fillId="0" borderId="14" xfId="3" applyFont="1" applyFill="1" applyBorder="1" applyAlignment="1" applyProtection="1">
      <alignment horizontal="right" vertical="center"/>
      <protection locked="0"/>
    </xf>
    <xf numFmtId="9" fontId="3" fillId="0" borderId="19" xfId="3" applyFont="1" applyFill="1" applyBorder="1" applyAlignment="1" applyProtection="1">
      <alignment horizontal="right" vertical="center"/>
      <protection locked="0"/>
    </xf>
    <xf numFmtId="9" fontId="3" fillId="0" borderId="1" xfId="3" applyFont="1" applyFill="1" applyBorder="1" applyAlignment="1" applyProtection="1">
      <alignment horizontal="right" vertical="center"/>
      <protection locked="0"/>
    </xf>
    <xf numFmtId="9" fontId="3" fillId="0" borderId="14" xfId="6" applyFont="1" applyFill="1" applyBorder="1" applyAlignment="1" applyProtection="1">
      <alignment horizontal="right" vertical="center"/>
      <protection locked="0"/>
    </xf>
    <xf numFmtId="43" fontId="3" fillId="0" borderId="0" xfId="1" applyFont="1" applyAlignment="1" applyProtection="1">
      <alignment vertical="center"/>
    </xf>
    <xf numFmtId="43" fontId="3" fillId="0" borderId="41" xfId="1" applyFont="1" applyFill="1" applyBorder="1" applyAlignment="1" applyProtection="1">
      <alignment vertical="center" wrapText="1"/>
    </xf>
    <xf numFmtId="43" fontId="3" fillId="0" borderId="43" xfId="1" applyFont="1" applyFill="1" applyBorder="1" applyAlignment="1" applyProtection="1">
      <alignment horizontal="right" vertical="center"/>
    </xf>
    <xf numFmtId="0" fontId="3" fillId="0" borderId="41" xfId="0" applyFont="1" applyFill="1" applyBorder="1" applyAlignment="1" applyProtection="1">
      <alignment horizontal="center" vertical="center"/>
    </xf>
    <xf numFmtId="166" fontId="3" fillId="0" borderId="44" xfId="1" applyNumberFormat="1" applyFont="1" applyFill="1" applyBorder="1" applyAlignment="1" applyProtection="1">
      <alignment horizontal="right" vertical="center"/>
      <protection locked="0"/>
    </xf>
    <xf numFmtId="166" fontId="3" fillId="0" borderId="57" xfId="1" applyNumberFormat="1" applyFont="1" applyFill="1" applyBorder="1" applyAlignment="1" applyProtection="1">
      <alignment horizontal="right" vertical="center"/>
      <protection locked="0"/>
    </xf>
    <xf numFmtId="166" fontId="3" fillId="0" borderId="39" xfId="1" applyNumberFormat="1" applyFont="1" applyFill="1" applyBorder="1" applyAlignment="1" applyProtection="1">
      <alignment horizontal="right" vertical="center"/>
      <protection locked="0"/>
    </xf>
    <xf numFmtId="166" fontId="3" fillId="0" borderId="44" xfId="4" applyNumberFormat="1" applyFont="1" applyFill="1" applyBorder="1" applyAlignment="1" applyProtection="1">
      <alignment horizontal="right" vertical="center"/>
      <protection locked="0"/>
    </xf>
    <xf numFmtId="3" fontId="3" fillId="0" borderId="19" xfId="0" applyNumberFormat="1" applyFont="1" applyFill="1" applyBorder="1" applyAlignment="1" applyProtection="1">
      <alignment horizontal="right" vertical="center"/>
      <protection locked="0"/>
    </xf>
    <xf numFmtId="166" fontId="3" fillId="0" borderId="0" xfId="1" applyNumberFormat="1" applyFont="1" applyAlignment="1" applyProtection="1">
      <alignment vertical="center"/>
    </xf>
    <xf numFmtId="0" fontId="2" fillId="0" borderId="0" xfId="0" applyFont="1" applyFill="1" applyBorder="1" applyAlignment="1" applyProtection="1">
      <alignment horizontal="right" vertical="center"/>
    </xf>
    <xf numFmtId="166" fontId="2" fillId="0" borderId="0" xfId="1" applyNumberFormat="1" applyFont="1" applyFill="1" applyAlignment="1" applyProtection="1">
      <alignment vertical="center"/>
    </xf>
    <xf numFmtId="0" fontId="3" fillId="0" borderId="24" xfId="0" applyFont="1" applyFill="1" applyBorder="1" applyAlignment="1" applyProtection="1">
      <alignment horizontal="right" vertical="center"/>
    </xf>
    <xf numFmtId="43" fontId="2" fillId="0" borderId="11" xfId="1" applyFont="1" applyFill="1" applyBorder="1" applyAlignment="1" applyProtection="1">
      <alignment vertical="center"/>
    </xf>
    <xf numFmtId="43" fontId="3" fillId="0" borderId="11" xfId="1" applyFont="1" applyFill="1" applyBorder="1" applyAlignment="1" applyProtection="1">
      <alignment horizontal="left" vertical="center"/>
    </xf>
    <xf numFmtId="0" fontId="2" fillId="0" borderId="12" xfId="0" applyFont="1" applyFill="1" applyBorder="1" applyAlignment="1" applyProtection="1">
      <alignment vertical="center"/>
    </xf>
    <xf numFmtId="9" fontId="3" fillId="0" borderId="0" xfId="3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9" fontId="6" fillId="0" borderId="0" xfId="3" applyFont="1" applyFill="1" applyBorder="1" applyAlignment="1" applyProtection="1">
      <alignment horizontal="right" vertical="center"/>
    </xf>
    <xf numFmtId="3" fontId="3" fillId="0" borderId="1" xfId="0" quotePrefix="1" applyNumberFormat="1" applyFont="1" applyFill="1" applyBorder="1" applyAlignment="1" applyProtection="1">
      <alignment horizontal="right" vertical="center"/>
      <protection locked="0"/>
    </xf>
    <xf numFmtId="43" fontId="3" fillId="0" borderId="58" xfId="1" applyFont="1" applyFill="1" applyBorder="1" applyAlignment="1" applyProtection="1">
      <alignment vertical="center"/>
    </xf>
    <xf numFmtId="0" fontId="3" fillId="0" borderId="59" xfId="0" applyFont="1" applyFill="1" applyBorder="1" applyAlignment="1" applyProtection="1">
      <alignment vertical="center"/>
    </xf>
    <xf numFmtId="0" fontId="3" fillId="0" borderId="56" xfId="0" applyFont="1" applyFill="1" applyBorder="1" applyAlignment="1" applyProtection="1">
      <alignment horizontal="center" vertical="center"/>
    </xf>
    <xf numFmtId="3" fontId="3" fillId="0" borderId="56" xfId="0" applyNumberFormat="1" applyFont="1" applyFill="1" applyBorder="1" applyAlignment="1" applyProtection="1">
      <alignment horizontal="right" vertical="center"/>
      <protection locked="0"/>
    </xf>
    <xf numFmtId="3" fontId="3" fillId="0" borderId="52" xfId="0" applyNumberFormat="1" applyFont="1" applyFill="1" applyBorder="1" applyAlignment="1" applyProtection="1">
      <alignment horizontal="right" vertical="center"/>
      <protection locked="0"/>
    </xf>
    <xf numFmtId="3" fontId="3" fillId="0" borderId="52" xfId="1" applyNumberFormat="1" applyFont="1" applyFill="1" applyBorder="1" applyAlignment="1" applyProtection="1">
      <alignment horizontal="right" vertical="center"/>
      <protection locked="0"/>
    </xf>
    <xf numFmtId="0" fontId="3" fillId="0" borderId="61" xfId="0" applyFont="1" applyFill="1" applyBorder="1" applyAlignment="1" applyProtection="1">
      <alignment vertical="center"/>
    </xf>
    <xf numFmtId="43" fontId="3" fillId="0" borderId="61" xfId="1" applyFont="1" applyFill="1" applyBorder="1" applyAlignment="1" applyProtection="1">
      <alignment vertical="center"/>
    </xf>
    <xf numFmtId="0" fontId="3" fillId="0" borderId="61" xfId="0" applyFont="1" applyFill="1" applyBorder="1" applyAlignment="1" applyProtection="1">
      <alignment horizontal="center" vertical="center"/>
    </xf>
    <xf numFmtId="0" fontId="2" fillId="0" borderId="30" xfId="0" applyFont="1" applyFill="1" applyBorder="1" applyAlignment="1" applyProtection="1">
      <alignment vertical="center"/>
    </xf>
    <xf numFmtId="0" fontId="3" fillId="0" borderId="48" xfId="0" applyFont="1" applyFill="1" applyBorder="1" applyAlignment="1" applyProtection="1">
      <alignment vertical="center"/>
    </xf>
    <xf numFmtId="0" fontId="3" fillId="0" borderId="31" xfId="0" applyFont="1" applyFill="1" applyBorder="1" applyAlignment="1" applyProtection="1">
      <alignment vertical="center"/>
    </xf>
    <xf numFmtId="168" fontId="2" fillId="0" borderId="1" xfId="0" applyNumberFormat="1" applyFont="1" applyFill="1" applyBorder="1" applyAlignment="1" applyProtection="1">
      <alignment horizontal="center" vertical="center"/>
    </xf>
    <xf numFmtId="168" fontId="3" fillId="0" borderId="22" xfId="7" applyNumberFormat="1" applyFont="1" applyFill="1" applyBorder="1" applyAlignment="1" applyProtection="1">
      <alignment horizontal="right" vertical="center"/>
      <protection locked="0"/>
    </xf>
    <xf numFmtId="46" fontId="3" fillId="0" borderId="24" xfId="7" applyNumberFormat="1" applyFont="1" applyFill="1" applyBorder="1" applyAlignment="1" applyProtection="1">
      <alignment horizontal="right" vertical="center"/>
    </xf>
    <xf numFmtId="0" fontId="3" fillId="0" borderId="40" xfId="0" applyFont="1" applyFill="1" applyBorder="1" applyAlignment="1" applyProtection="1">
      <alignment vertical="center"/>
    </xf>
    <xf numFmtId="166" fontId="3" fillId="0" borderId="1" xfId="5" applyNumberFormat="1" applyFont="1" applyFill="1" applyBorder="1" applyAlignment="1" applyProtection="1">
      <alignment horizontal="right" vertical="center"/>
      <protection locked="0"/>
    </xf>
    <xf numFmtId="0" fontId="3" fillId="0" borderId="22" xfId="0" applyFont="1" applyFill="1" applyBorder="1" applyAlignment="1" applyProtection="1">
      <alignment horizontal="center" vertical="center"/>
    </xf>
    <xf numFmtId="9" fontId="2" fillId="0" borderId="11" xfId="3" applyFont="1" applyFill="1" applyBorder="1" applyAlignment="1" applyProtection="1">
      <alignment horizontal="center" vertical="center"/>
    </xf>
    <xf numFmtId="9" fontId="3" fillId="0" borderId="24" xfId="8" applyFont="1" applyFill="1" applyBorder="1" applyAlignment="1" applyProtection="1">
      <alignment horizontal="right" vertical="center"/>
    </xf>
    <xf numFmtId="41" fontId="3" fillId="0" borderId="1" xfId="2" applyFont="1" applyFill="1" applyBorder="1" applyAlignment="1" applyProtection="1">
      <alignment horizontal="right" vertical="center"/>
      <protection locked="0"/>
    </xf>
    <xf numFmtId="0" fontId="3" fillId="0" borderId="1" xfId="8" applyNumberFormat="1" applyFont="1" applyFill="1" applyBorder="1" applyAlignment="1" applyProtection="1">
      <alignment horizontal="right" vertical="center"/>
      <protection locked="0"/>
    </xf>
    <xf numFmtId="9" fontId="3" fillId="0" borderId="1" xfId="8" applyFont="1" applyFill="1" applyBorder="1" applyAlignment="1" applyProtection="1">
      <alignment horizontal="right" vertical="center"/>
      <protection locked="0"/>
    </xf>
    <xf numFmtId="0" fontId="2" fillId="0" borderId="34" xfId="0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12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" fillId="4" borderId="0" xfId="3" applyNumberFormat="1" applyFont="1" applyFill="1" applyBorder="1" applyAlignment="1" applyProtection="1">
      <alignment horizontal="right" vertical="center"/>
    </xf>
    <xf numFmtId="166" fontId="3" fillId="0" borderId="1" xfId="1" applyNumberFormat="1" applyFont="1" applyFill="1" applyBorder="1" applyAlignment="1" applyProtection="1">
      <alignment horizontal="right" vertical="center"/>
      <protection locked="0"/>
    </xf>
    <xf numFmtId="9" fontId="3" fillId="0" borderId="1" xfId="3" quotePrefix="1" applyFont="1" applyFill="1" applyBorder="1" applyAlignment="1" applyProtection="1">
      <alignment horizontal="center" vertical="center"/>
      <protection locked="0"/>
    </xf>
    <xf numFmtId="9" fontId="3" fillId="0" borderId="1" xfId="3" applyFont="1" applyFill="1" applyBorder="1" applyAlignment="1" applyProtection="1">
      <alignment horizontal="center" vertical="center"/>
      <protection locked="0"/>
    </xf>
    <xf numFmtId="0" fontId="3" fillId="0" borderId="1" xfId="3" quotePrefix="1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right" vertical="center"/>
    </xf>
    <xf numFmtId="0" fontId="4" fillId="2" borderId="62" xfId="0" applyNumberFormat="1" applyFont="1" applyFill="1" applyBorder="1" applyAlignment="1" applyProtection="1">
      <alignment horizontal="right" vertical="center"/>
    </xf>
    <xf numFmtId="0" fontId="2" fillId="0" borderId="10" xfId="0" applyFont="1" applyFill="1" applyBorder="1" applyAlignment="1" applyProtection="1">
      <alignment vertical="center"/>
    </xf>
    <xf numFmtId="0" fontId="2" fillId="0" borderId="25" xfId="0" applyFont="1" applyFill="1" applyBorder="1" applyAlignment="1" applyProtection="1">
      <alignment horizontal="left" vertical="center" wrapText="1"/>
    </xf>
    <xf numFmtId="0" fontId="2" fillId="0" borderId="41" xfId="0" applyFont="1" applyFill="1" applyBorder="1" applyAlignment="1" applyProtection="1">
      <alignment vertical="center"/>
    </xf>
    <xf numFmtId="43" fontId="2" fillId="0" borderId="41" xfId="1" applyFont="1" applyFill="1" applyBorder="1" applyAlignment="1" applyProtection="1">
      <alignment vertical="center"/>
    </xf>
    <xf numFmtId="0" fontId="2" fillId="0" borderId="43" xfId="0" applyFont="1" applyFill="1" applyBorder="1" applyAlignment="1" applyProtection="1">
      <alignment horizontal="right" vertical="center"/>
    </xf>
    <xf numFmtId="0" fontId="3" fillId="0" borderId="1" xfId="1" applyNumberFormat="1" applyFont="1" applyFill="1" applyBorder="1" applyAlignment="1" applyProtection="1">
      <alignment horizontal="right" vertical="center"/>
    </xf>
    <xf numFmtId="0" fontId="2" fillId="0" borderId="1" xfId="5" applyNumberFormat="1" applyFont="1" applyFill="1" applyBorder="1" applyAlignment="1" applyProtection="1">
      <alignment horizontal="right" vertical="center"/>
    </xf>
    <xf numFmtId="0" fontId="2" fillId="0" borderId="33" xfId="5" applyNumberFormat="1" applyFont="1" applyFill="1" applyBorder="1" applyAlignment="1" applyProtection="1">
      <alignment horizontal="right" vertical="center"/>
    </xf>
    <xf numFmtId="0" fontId="2" fillId="0" borderId="20" xfId="5" applyNumberFormat="1" applyFont="1" applyFill="1" applyBorder="1" applyAlignment="1" applyProtection="1">
      <alignment horizontal="right" vertical="center"/>
    </xf>
    <xf numFmtId="0" fontId="3" fillId="0" borderId="15" xfId="4" applyNumberFormat="1" applyFont="1" applyFill="1" applyBorder="1" applyAlignment="1" applyProtection="1">
      <alignment horizontal="right" vertical="center"/>
    </xf>
    <xf numFmtId="0" fontId="3" fillId="0" borderId="15" xfId="1" applyNumberFormat="1" applyFont="1" applyFill="1" applyBorder="1" applyAlignment="1" applyProtection="1">
      <alignment horizontal="right" vertical="center"/>
    </xf>
    <xf numFmtId="0" fontId="2" fillId="0" borderId="15" xfId="1" applyNumberFormat="1" applyFont="1" applyFill="1" applyBorder="1" applyAlignment="1" applyProtection="1">
      <alignment horizontal="right" vertical="center"/>
    </xf>
    <xf numFmtId="0" fontId="2" fillId="0" borderId="32" xfId="1" applyNumberFormat="1" applyFont="1" applyFill="1" applyBorder="1" applyAlignment="1" applyProtection="1">
      <alignment horizontal="right" vertical="center"/>
    </xf>
    <xf numFmtId="0" fontId="3" fillId="0" borderId="14" xfId="0" applyNumberFormat="1" applyFont="1" applyFill="1" applyBorder="1" applyAlignment="1" applyProtection="1">
      <alignment horizontal="right" vertical="center"/>
    </xf>
    <xf numFmtId="0" fontId="3" fillId="0" borderId="15" xfId="0" applyNumberFormat="1" applyFont="1" applyFill="1" applyBorder="1" applyAlignment="1" applyProtection="1">
      <alignment horizontal="right" vertical="center"/>
    </xf>
    <xf numFmtId="0" fontId="2" fillId="0" borderId="0" xfId="0" applyFont="1" applyFill="1" applyAlignment="1" applyProtection="1">
      <alignment horizontal="center" vertical="center"/>
    </xf>
    <xf numFmtId="43" fontId="3" fillId="0" borderId="0" xfId="1" applyFont="1" applyFill="1" applyAlignment="1" applyProtection="1">
      <alignment vertical="center"/>
    </xf>
    <xf numFmtId="9" fontId="2" fillId="0" borderId="1" xfId="3" applyFont="1" applyFill="1" applyBorder="1" applyAlignment="1" applyProtection="1">
      <alignment horizontal="center" vertical="center"/>
    </xf>
    <xf numFmtId="166" fontId="3" fillId="0" borderId="1" xfId="5" applyNumberFormat="1" applyFont="1" applyFill="1" applyBorder="1" applyAlignment="1" applyProtection="1">
      <alignment horizontal="right" vertical="center"/>
    </xf>
    <xf numFmtId="0" fontId="3" fillId="0" borderId="9" xfId="0" applyFont="1" applyFill="1" applyBorder="1" applyAlignment="1" applyProtection="1">
      <alignment vertical="center"/>
    </xf>
    <xf numFmtId="166" fontId="2" fillId="0" borderId="1" xfId="0" applyNumberFormat="1" applyFont="1" applyFill="1" applyBorder="1" applyAlignment="1" applyProtection="1">
      <alignment horizontal="center" vertical="center"/>
    </xf>
    <xf numFmtId="166" fontId="7" fillId="0" borderId="1" xfId="1" applyNumberFormat="1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left" vertical="center"/>
    </xf>
    <xf numFmtId="0" fontId="2" fillId="0" borderId="38" xfId="0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right" vertical="center"/>
    </xf>
    <xf numFmtId="0" fontId="3" fillId="0" borderId="11" xfId="0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center" vertical="center"/>
    </xf>
    <xf numFmtId="0" fontId="3" fillId="0" borderId="48" xfId="0" applyFont="1" applyFill="1" applyBorder="1" applyAlignment="1" applyProtection="1">
      <alignment horizontal="right" vertical="center"/>
    </xf>
    <xf numFmtId="46" fontId="3" fillId="0" borderId="1" xfId="7" applyNumberFormat="1" applyFont="1" applyFill="1" applyBorder="1" applyAlignment="1" applyProtection="1">
      <alignment horizontal="right" vertical="center"/>
    </xf>
    <xf numFmtId="43" fontId="3" fillId="0" borderId="30" xfId="1" applyFont="1" applyFill="1" applyBorder="1" applyAlignment="1" applyProtection="1">
      <alignment vertical="center"/>
    </xf>
    <xf numFmtId="3" fontId="3" fillId="0" borderId="29" xfId="1" applyNumberFormat="1" applyFont="1" applyFill="1" applyBorder="1" applyAlignment="1" applyProtection="1">
      <alignment horizontal="right" vertical="center"/>
      <protection locked="0"/>
    </xf>
    <xf numFmtId="3" fontId="3" fillId="0" borderId="27" xfId="1" applyNumberFormat="1" applyFont="1" applyFill="1" applyBorder="1" applyAlignment="1" applyProtection="1">
      <alignment horizontal="right" vertical="center"/>
      <protection locked="0"/>
    </xf>
    <xf numFmtId="3" fontId="3" fillId="0" borderId="22" xfId="1" applyNumberFormat="1" applyFont="1" applyFill="1" applyBorder="1" applyAlignment="1" applyProtection="1">
      <alignment horizontal="right" vertical="center"/>
      <protection locked="0"/>
    </xf>
    <xf numFmtId="3" fontId="3" fillId="0" borderId="29" xfId="4" applyNumberFormat="1" applyFont="1" applyFill="1" applyBorder="1" applyAlignment="1" applyProtection="1">
      <alignment horizontal="right" vertical="center"/>
      <protection locked="0"/>
    </xf>
    <xf numFmtId="166" fontId="2" fillId="2" borderId="38" xfId="1" applyNumberFormat="1" applyFont="1" applyFill="1" applyBorder="1" applyAlignment="1" applyProtection="1">
      <alignment horizontal="center" vertical="center"/>
    </xf>
    <xf numFmtId="0" fontId="2" fillId="0" borderId="58" xfId="0" applyFont="1" applyFill="1" applyBorder="1" applyAlignment="1" applyProtection="1">
      <alignment vertical="center"/>
    </xf>
    <xf numFmtId="9" fontId="2" fillId="2" borderId="1" xfId="3" applyFont="1" applyFill="1" applyBorder="1" applyAlignment="1" applyProtection="1">
      <alignment horizontal="center" vertical="center"/>
    </xf>
    <xf numFmtId="46" fontId="3" fillId="0" borderId="22" xfId="7" applyNumberFormat="1" applyFont="1" applyFill="1" applyBorder="1" applyAlignment="1" applyProtection="1">
      <alignment horizontal="right" vertical="center"/>
    </xf>
    <xf numFmtId="9" fontId="3" fillId="0" borderId="1" xfId="3" applyFont="1" applyFill="1" applyBorder="1" applyAlignment="1" applyProtection="1">
      <alignment horizontal="right" vertical="center"/>
    </xf>
    <xf numFmtId="0" fontId="2" fillId="0" borderId="3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vertical="center" wrapText="1"/>
    </xf>
    <xf numFmtId="0" fontId="3" fillId="0" borderId="43" xfId="0" applyFont="1" applyFill="1" applyBorder="1" applyAlignment="1" applyProtection="1">
      <alignment vertical="center"/>
    </xf>
    <xf numFmtId="0" fontId="3" fillId="0" borderId="38" xfId="0" applyFont="1" applyFill="1" applyBorder="1" applyAlignment="1" applyProtection="1">
      <alignment horizontal="center" vertical="center"/>
    </xf>
    <xf numFmtId="43" fontId="3" fillId="0" borderId="0" xfId="1" applyFont="1" applyFill="1" applyBorder="1" applyAlignment="1" applyProtection="1">
      <alignment vertical="center" wrapText="1"/>
    </xf>
    <xf numFmtId="49" fontId="2" fillId="0" borderId="0" xfId="0" applyNumberFormat="1" applyFont="1" applyFill="1" applyBorder="1" applyAlignment="1" applyProtection="1">
      <alignment horizontal="right" vertical="center" indent="1"/>
    </xf>
    <xf numFmtId="0" fontId="3" fillId="0" borderId="30" xfId="0" applyFont="1" applyFill="1" applyBorder="1" applyAlignment="1" applyProtection="1">
      <alignment horizontal="center" vertical="center"/>
    </xf>
    <xf numFmtId="0" fontId="3" fillId="0" borderId="11" xfId="0" quotePrefix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horizontal="left" indent="1"/>
    </xf>
    <xf numFmtId="0" fontId="2" fillId="0" borderId="12" xfId="0" applyFont="1" applyFill="1" applyBorder="1" applyAlignment="1" applyProtection="1">
      <alignment horizontal="left" indent="1"/>
    </xf>
    <xf numFmtId="0" fontId="2" fillId="0" borderId="26" xfId="0" applyFont="1" applyFill="1" applyBorder="1" applyAlignment="1" applyProtection="1">
      <alignment horizontal="left" indent="1"/>
    </xf>
    <xf numFmtId="0" fontId="2" fillId="0" borderId="0" xfId="0" applyFont="1" applyFill="1" applyBorder="1" applyAlignment="1" applyProtection="1">
      <alignment horizontal="left" vertical="center"/>
    </xf>
    <xf numFmtId="0" fontId="2" fillId="0" borderId="1" xfId="0" applyFont="1" applyFill="1" applyBorder="1" applyAlignment="1" applyProtection="1">
      <alignment horizontal="left" vertical="center"/>
    </xf>
    <xf numFmtId="43" fontId="3" fillId="0" borderId="41" xfId="1" applyFont="1" applyFill="1" applyBorder="1" applyAlignment="1" applyProtection="1">
      <alignment vertical="center"/>
    </xf>
    <xf numFmtId="3" fontId="3" fillId="0" borderId="16" xfId="4" applyNumberFormat="1" applyFont="1" applyFill="1" applyBorder="1" applyAlignment="1" applyProtection="1">
      <alignment horizontal="right" vertical="center"/>
      <protection locked="0"/>
    </xf>
    <xf numFmtId="9" fontId="3" fillId="0" borderId="16" xfId="6" applyFont="1" applyFill="1" applyBorder="1" applyAlignment="1" applyProtection="1">
      <alignment horizontal="right" vertical="center"/>
      <protection locked="0"/>
    </xf>
    <xf numFmtId="166" fontId="3" fillId="0" borderId="47" xfId="4" applyNumberFormat="1" applyFont="1" applyFill="1" applyBorder="1" applyAlignment="1" applyProtection="1">
      <alignment horizontal="right" vertical="center"/>
      <protection locked="0"/>
    </xf>
    <xf numFmtId="166" fontId="2" fillId="0" borderId="1" xfId="4" applyNumberFormat="1" applyFont="1" applyFill="1" applyBorder="1" applyAlignment="1" applyProtection="1">
      <alignment horizontal="center" vertical="center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0" fontId="3" fillId="0" borderId="14" xfId="1" applyNumberFormat="1" applyFont="1" applyFill="1" applyBorder="1" applyAlignment="1" applyProtection="1">
      <alignment horizontal="right" vertical="center"/>
    </xf>
    <xf numFmtId="46" fontId="3" fillId="0" borderId="11" xfId="7" applyNumberFormat="1" applyFont="1" applyFill="1" applyBorder="1" applyAlignment="1" applyProtection="1">
      <alignment horizontal="right" vertical="center"/>
    </xf>
    <xf numFmtId="0" fontId="2" fillId="0" borderId="0" xfId="3" applyNumberFormat="1" applyFont="1" applyFill="1" applyBorder="1" applyAlignment="1" applyProtection="1">
      <alignment horizontal="right" vertical="center"/>
    </xf>
    <xf numFmtId="0" fontId="3" fillId="0" borderId="19" xfId="1" applyNumberFormat="1" applyFont="1" applyFill="1" applyBorder="1" applyAlignment="1" applyProtection="1">
      <alignment horizontal="right" vertical="center"/>
    </xf>
    <xf numFmtId="0" fontId="3" fillId="0" borderId="14" xfId="4" applyNumberFormat="1" applyFont="1" applyFill="1" applyBorder="1" applyAlignment="1" applyProtection="1">
      <alignment horizontal="right" vertical="center"/>
    </xf>
    <xf numFmtId="0" fontId="2" fillId="0" borderId="36" xfId="0" applyFont="1" applyFill="1" applyBorder="1" applyAlignment="1" applyProtection="1">
      <alignment vertical="center"/>
    </xf>
    <xf numFmtId="0" fontId="3" fillId="0" borderId="0" xfId="0" applyFont="1" applyFill="1" applyBorder="1" applyAlignment="1" applyProtection="1">
      <alignment horizontal="center" vertical="center" textRotation="90"/>
    </xf>
    <xf numFmtId="43" fontId="2" fillId="0" borderId="2" xfId="1" applyFont="1" applyFill="1" applyBorder="1" applyAlignment="1" applyProtection="1">
      <alignment vertical="center"/>
    </xf>
    <xf numFmtId="43" fontId="3" fillId="0" borderId="2" xfId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 textRotation="90"/>
    </xf>
    <xf numFmtId="0" fontId="2" fillId="0" borderId="30" xfId="0" applyFont="1" applyFill="1" applyBorder="1" applyAlignment="1" applyProtection="1">
      <alignment vertical="center" textRotation="90"/>
    </xf>
    <xf numFmtId="0" fontId="2" fillId="0" borderId="54" xfId="0" applyFont="1" applyFill="1" applyBorder="1" applyAlignment="1" applyProtection="1">
      <alignment vertical="center"/>
    </xf>
    <xf numFmtId="0" fontId="3" fillId="0" borderId="54" xfId="0" applyFont="1" applyFill="1" applyBorder="1" applyAlignment="1" applyProtection="1">
      <alignment vertical="center"/>
    </xf>
    <xf numFmtId="0" fontId="2" fillId="0" borderId="25" xfId="0" applyFont="1" applyFill="1" applyBorder="1" applyAlignment="1" applyProtection="1">
      <alignment vertical="center"/>
    </xf>
    <xf numFmtId="0" fontId="3" fillId="0" borderId="34" xfId="0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22" xfId="0" applyFont="1" applyFill="1" applyBorder="1" applyAlignment="1" applyProtection="1">
      <alignment horizontal="center" vertical="center"/>
    </xf>
    <xf numFmtId="9" fontId="2" fillId="6" borderId="1" xfId="3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3" fillId="0" borderId="32" xfId="1" applyNumberFormat="1" applyFont="1" applyFill="1" applyBorder="1" applyAlignment="1" applyProtection="1">
      <alignment horizontal="right" vertical="center"/>
    </xf>
    <xf numFmtId="1" fontId="3" fillId="0" borderId="11" xfId="1" applyNumberFormat="1" applyFont="1" applyFill="1" applyBorder="1" applyAlignment="1" applyProtection="1">
      <alignment horizontal="right" vertical="center"/>
      <protection locked="0"/>
    </xf>
    <xf numFmtId="166" fontId="3" fillId="0" borderId="11" xfId="1" applyNumberFormat="1" applyFont="1" applyFill="1" applyBorder="1" applyAlignment="1" applyProtection="1">
      <alignment horizontal="center" vertical="center"/>
      <protection locked="0"/>
    </xf>
    <xf numFmtId="166" fontId="4" fillId="2" borderId="41" xfId="1" applyNumberFormat="1" applyFont="1" applyFill="1" applyBorder="1" applyAlignment="1" applyProtection="1">
      <alignment horizontal="center" vertical="center"/>
    </xf>
    <xf numFmtId="0" fontId="3" fillId="0" borderId="19" xfId="0" applyNumberFormat="1" applyFont="1" applyFill="1" applyBorder="1" applyAlignment="1" applyProtection="1">
      <alignment horizontal="right" vertical="center"/>
    </xf>
    <xf numFmtId="166" fontId="2" fillId="2" borderId="11" xfId="1" applyNumberFormat="1" applyFont="1" applyFill="1" applyBorder="1" applyAlignment="1" applyProtection="1">
      <alignment horizontal="center" vertical="center"/>
    </xf>
    <xf numFmtId="1" fontId="5" fillId="0" borderId="57" xfId="1" applyNumberFormat="1" applyFont="1" applyFill="1" applyBorder="1" applyAlignment="1" applyProtection="1">
      <alignment horizontal="right" vertical="center"/>
      <protection locked="0"/>
    </xf>
    <xf numFmtId="3" fontId="3" fillId="0" borderId="64" xfId="1" applyNumberFormat="1" applyFont="1" applyFill="1" applyBorder="1" applyAlignment="1" applyProtection="1">
      <alignment horizontal="right" vertical="center"/>
      <protection locked="0"/>
    </xf>
    <xf numFmtId="3" fontId="3" fillId="0" borderId="65" xfId="1" applyNumberFormat="1" applyFont="1" applyFill="1" applyBorder="1" applyAlignment="1" applyProtection="1">
      <alignment horizontal="right" vertical="center"/>
      <protection locked="0"/>
    </xf>
    <xf numFmtId="166" fontId="2" fillId="2" borderId="41" xfId="1" applyNumberFormat="1" applyFont="1" applyFill="1" applyBorder="1" applyAlignment="1" applyProtection="1">
      <alignment horizontal="center" vertical="center"/>
    </xf>
    <xf numFmtId="3" fontId="3" fillId="0" borderId="32" xfId="0" applyNumberFormat="1" applyFont="1" applyFill="1" applyBorder="1" applyAlignment="1" applyProtection="1">
      <alignment horizontal="right" vertical="center"/>
      <protection locked="0"/>
    </xf>
    <xf numFmtId="3" fontId="3" fillId="0" borderId="11" xfId="0" applyNumberFormat="1" applyFont="1" applyFill="1" applyBorder="1" applyAlignment="1" applyProtection="1">
      <alignment horizontal="right" vertical="center"/>
      <protection locked="0"/>
    </xf>
    <xf numFmtId="3" fontId="5" fillId="0" borderId="19" xfId="0" applyNumberFormat="1" applyFont="1" applyFill="1" applyBorder="1" applyAlignment="1" applyProtection="1">
      <alignment horizontal="right" vertical="center"/>
      <protection locked="0"/>
    </xf>
    <xf numFmtId="166" fontId="2" fillId="2" borderId="58" xfId="1" applyNumberFormat="1" applyFont="1" applyFill="1" applyBorder="1" applyAlignment="1" applyProtection="1">
      <alignment horizontal="center" vertical="center"/>
    </xf>
    <xf numFmtId="3" fontId="3" fillId="0" borderId="58" xfId="0" applyNumberFormat="1" applyFont="1" applyFill="1" applyBorder="1" applyAlignment="1" applyProtection="1">
      <alignment horizontal="right" vertical="center"/>
      <protection locked="0"/>
    </xf>
    <xf numFmtId="166" fontId="7" fillId="0" borderId="11" xfId="1" applyNumberFormat="1" applyFont="1" applyFill="1" applyBorder="1" applyAlignment="1" applyProtection="1">
      <alignment horizontal="center" vertical="center"/>
    </xf>
    <xf numFmtId="9" fontId="2" fillId="6" borderId="11" xfId="3" applyFont="1" applyFill="1" applyBorder="1" applyAlignment="1" applyProtection="1">
      <alignment horizontal="center" vertical="center"/>
    </xf>
    <xf numFmtId="168" fontId="3" fillId="0" borderId="30" xfId="7" applyNumberFormat="1" applyFont="1" applyFill="1" applyBorder="1" applyAlignment="1" applyProtection="1">
      <alignment horizontal="right" vertical="center"/>
      <protection locked="0"/>
    </xf>
    <xf numFmtId="166" fontId="2" fillId="0" borderId="11" xfId="0" applyNumberFormat="1" applyFont="1" applyFill="1" applyBorder="1" applyAlignment="1" applyProtection="1">
      <alignment horizontal="center" vertical="center"/>
    </xf>
    <xf numFmtId="168" fontId="2" fillId="0" borderId="11" xfId="0" applyNumberFormat="1" applyFont="1" applyFill="1" applyBorder="1" applyAlignment="1" applyProtection="1">
      <alignment horizontal="center" vertical="center"/>
    </xf>
    <xf numFmtId="166" fontId="3" fillId="0" borderId="11" xfId="5" applyNumberFormat="1" applyFont="1" applyFill="1" applyBorder="1" applyAlignment="1" applyProtection="1">
      <alignment horizontal="right" vertical="center"/>
    </xf>
    <xf numFmtId="9" fontId="3" fillId="0" borderId="11" xfId="8" applyFont="1" applyFill="1" applyBorder="1" applyAlignment="1" applyProtection="1">
      <alignment horizontal="right" vertical="center"/>
      <protection locked="0"/>
    </xf>
    <xf numFmtId="166" fontId="3" fillId="0" borderId="11" xfId="5" applyNumberFormat="1" applyFont="1" applyFill="1" applyBorder="1" applyAlignment="1" applyProtection="1">
      <alignment horizontal="right" vertical="center"/>
      <protection locked="0"/>
    </xf>
    <xf numFmtId="9" fontId="2" fillId="2" borderId="11" xfId="3" applyFont="1" applyFill="1" applyBorder="1" applyAlignment="1" applyProtection="1">
      <alignment horizontal="center" vertical="center"/>
    </xf>
    <xf numFmtId="0" fontId="3" fillId="0" borderId="11" xfId="3" quotePrefix="1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</xf>
    <xf numFmtId="0" fontId="2" fillId="0" borderId="1" xfId="0" applyFont="1" applyBorder="1" applyAlignment="1" applyProtection="1">
      <alignment vertical="center"/>
    </xf>
    <xf numFmtId="166" fontId="2" fillId="0" borderId="1" xfId="1" applyNumberFormat="1" applyFont="1" applyFill="1" applyBorder="1" applyAlignment="1" applyProtection="1">
      <alignment vertical="center"/>
    </xf>
    <xf numFmtId="0" fontId="2" fillId="0" borderId="11" xfId="0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24" xfId="0" applyFont="1" applyFill="1" applyBorder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2" fillId="0" borderId="8" xfId="0" applyFont="1" applyFill="1" applyBorder="1" applyAlignment="1" applyProtection="1">
      <alignment horizontal="center" vertical="center"/>
    </xf>
    <xf numFmtId="0" fontId="2" fillId="0" borderId="10" xfId="0" applyFont="1" applyFill="1" applyBorder="1" applyAlignment="1" applyProtection="1">
      <alignment horizontal="center" vertical="center"/>
    </xf>
    <xf numFmtId="0" fontId="2" fillId="0" borderId="36" xfId="0" applyFont="1" applyFill="1" applyBorder="1" applyAlignment="1" applyProtection="1">
      <alignment horizontal="center" vertical="center"/>
    </xf>
    <xf numFmtId="0" fontId="2" fillId="0" borderId="42" xfId="0" applyFont="1" applyFill="1" applyBorder="1" applyAlignment="1" applyProtection="1">
      <alignment vertical="center" wrapText="1"/>
    </xf>
    <xf numFmtId="0" fontId="2" fillId="0" borderId="43" xfId="0" quotePrefix="1" applyFont="1" applyFill="1" applyBorder="1" applyAlignment="1" applyProtection="1">
      <alignment vertical="center"/>
    </xf>
    <xf numFmtId="166" fontId="2" fillId="2" borderId="39" xfId="1" applyNumberFormat="1" applyFont="1" applyFill="1" applyBorder="1" applyAlignment="1" applyProtection="1">
      <alignment horizontal="center" vertical="center"/>
    </xf>
    <xf numFmtId="0" fontId="2" fillId="0" borderId="37" xfId="0" applyFont="1" applyFill="1" applyBorder="1" applyAlignment="1" applyProtection="1">
      <alignment horizontal="center" vertical="center"/>
    </xf>
    <xf numFmtId="1" fontId="3" fillId="0" borderId="47" xfId="4" applyNumberFormat="1" applyFont="1" applyFill="1" applyBorder="1" applyAlignment="1" applyProtection="1">
      <alignment horizontal="right" vertical="center"/>
      <protection locked="0"/>
    </xf>
    <xf numFmtId="0" fontId="12" fillId="0" borderId="0" xfId="0" applyFont="1" applyFill="1" applyAlignment="1" applyProtection="1"/>
    <xf numFmtId="0" fontId="3" fillId="0" borderId="26" xfId="0" applyFont="1" applyFill="1" applyBorder="1" applyAlignment="1" applyProtection="1">
      <alignment vertical="center"/>
    </xf>
    <xf numFmtId="0" fontId="2" fillId="0" borderId="52" xfId="0" applyFont="1" applyFill="1" applyBorder="1" applyAlignment="1" applyProtection="1">
      <alignment horizontal="center" vertical="center"/>
    </xf>
    <xf numFmtId="43" fontId="2" fillId="0" borderId="37" xfId="1" applyFont="1" applyFill="1" applyBorder="1" applyAlignment="1" applyProtection="1">
      <alignment horizontal="center" vertical="center"/>
    </xf>
    <xf numFmtId="0" fontId="3" fillId="0" borderId="60" xfId="0" applyFont="1" applyFill="1" applyBorder="1" applyAlignment="1" applyProtection="1">
      <alignment vertical="center"/>
    </xf>
    <xf numFmtId="0" fontId="2" fillId="0" borderId="61" xfId="0" applyFont="1" applyFill="1" applyBorder="1" applyAlignment="1" applyProtection="1">
      <alignment vertical="center"/>
    </xf>
    <xf numFmtId="0" fontId="2" fillId="0" borderId="30" xfId="0" applyFont="1" applyFill="1" applyBorder="1" applyAlignment="1" applyProtection="1">
      <alignment horizontal="center" vertical="center"/>
    </xf>
    <xf numFmtId="0" fontId="3" fillId="0" borderId="63" xfId="0" applyFont="1" applyFill="1" applyBorder="1" applyAlignment="1" applyProtection="1">
      <alignment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left" inden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2" borderId="14" xfId="1" applyNumberFormat="1" applyFont="1" applyFill="1" applyBorder="1" applyAlignment="1" applyProtection="1">
      <alignment horizontal="right" vertical="center"/>
    </xf>
    <xf numFmtId="166" fontId="2" fillId="2" borderId="66" xfId="1" applyNumberFormat="1" applyFont="1" applyFill="1" applyBorder="1" applyAlignment="1" applyProtection="1">
      <alignment horizontal="center" vertical="center"/>
    </xf>
    <xf numFmtId="3" fontId="3" fillId="0" borderId="0" xfId="1" applyNumberFormat="1" applyFont="1" applyFill="1" applyBorder="1" applyAlignment="1" applyProtection="1">
      <alignment horizontal="right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17" xfId="0" applyFont="1" applyFill="1" applyBorder="1" applyAlignment="1" applyProtection="1">
      <alignment vertical="center"/>
    </xf>
    <xf numFmtId="0" fontId="3" fillId="0" borderId="22" xfId="0" applyFont="1" applyBorder="1" applyAlignment="1" applyProtection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quotePrefix="1" applyFont="1" applyBorder="1" applyAlignment="1">
      <alignment vertical="top" wrapText="1"/>
    </xf>
    <xf numFmtId="0" fontId="3" fillId="0" borderId="0" xfId="0" quotePrefix="1" applyFont="1" applyBorder="1" applyAlignment="1">
      <alignment vertical="center" wrapText="1"/>
    </xf>
    <xf numFmtId="0" fontId="5" fillId="0" borderId="0" xfId="0" quotePrefix="1" applyFont="1" applyFill="1" applyAlignment="1" applyProtection="1">
      <alignment vertical="center"/>
    </xf>
    <xf numFmtId="0" fontId="3" fillId="0" borderId="0" xfId="0" quotePrefix="1" applyFont="1" applyFill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vertical="center"/>
    </xf>
    <xf numFmtId="0" fontId="3" fillId="0" borderId="24" xfId="0" applyNumberFormat="1" applyFont="1" applyFill="1" applyBorder="1" applyAlignment="1" applyProtection="1">
      <alignment vertical="center"/>
    </xf>
    <xf numFmtId="0" fontId="2" fillId="4" borderId="24" xfId="3" applyNumberFormat="1" applyFont="1" applyFill="1" applyBorder="1" applyAlignment="1" applyProtection="1">
      <alignment horizontal="right" vertical="center"/>
    </xf>
    <xf numFmtId="9" fontId="2" fillId="0" borderId="24" xfId="3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40" xfId="0" applyNumberFormat="1" applyFont="1" applyFill="1" applyBorder="1" applyAlignment="1" applyProtection="1">
      <alignment vertical="center"/>
    </xf>
    <xf numFmtId="0" fontId="3" fillId="0" borderId="40" xfId="0" applyNumberFormat="1" applyFont="1" applyFill="1" applyBorder="1" applyAlignment="1" applyProtection="1">
      <alignment vertical="center"/>
    </xf>
    <xf numFmtId="0" fontId="2" fillId="0" borderId="48" xfId="0" applyFont="1" applyFill="1" applyBorder="1" applyAlignment="1" applyProtection="1">
      <alignment vertical="center"/>
    </xf>
    <xf numFmtId="0" fontId="3" fillId="0" borderId="11" xfId="0" applyFont="1" applyBorder="1" applyAlignment="1" applyProtection="1">
      <alignment vertical="center"/>
    </xf>
    <xf numFmtId="0" fontId="3" fillId="0" borderId="36" xfId="0" applyFont="1" applyBorder="1" applyAlignment="1" applyProtection="1">
      <alignment vertical="center"/>
    </xf>
    <xf numFmtId="0" fontId="3" fillId="0" borderId="10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right" vertical="center"/>
    </xf>
    <xf numFmtId="0" fontId="3" fillId="0" borderId="1" xfId="0" applyFont="1" applyBorder="1" applyAlignment="1" applyProtection="1">
      <alignment horizontal="right" vertical="center"/>
    </xf>
    <xf numFmtId="0" fontId="3" fillId="0" borderId="1" xfId="0" applyFont="1" applyFill="1" applyBorder="1" applyAlignment="1" applyProtection="1">
      <alignment horizontal="right" vertical="center"/>
    </xf>
    <xf numFmtId="9" fontId="3" fillId="0" borderId="1" xfId="0" applyNumberFormat="1" applyFont="1" applyFill="1" applyBorder="1" applyAlignment="1" applyProtection="1">
      <alignment horizontal="right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7" xfId="0" applyFont="1" applyFill="1" applyBorder="1" applyAlignment="1" applyProtection="1">
      <alignment vertical="center"/>
    </xf>
    <xf numFmtId="0" fontId="17" fillId="0" borderId="12" xfId="0" applyFont="1" applyFill="1" applyBorder="1" applyAlignment="1" applyProtection="1">
      <alignment horizontal="right" vertical="center"/>
    </xf>
    <xf numFmtId="0" fontId="3" fillId="0" borderId="1" xfId="0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vertical="center"/>
    </xf>
    <xf numFmtId="0" fontId="3" fillId="5" borderId="11" xfId="0" applyFont="1" applyFill="1" applyBorder="1" applyAlignment="1" applyProtection="1">
      <alignment vertical="center"/>
    </xf>
    <xf numFmtId="0" fontId="3" fillId="5" borderId="31" xfId="0" applyFont="1" applyFill="1" applyBorder="1" applyAlignment="1" applyProtection="1">
      <alignment vertical="center"/>
    </xf>
    <xf numFmtId="0" fontId="2" fillId="0" borderId="40" xfId="0" applyFont="1" applyFill="1" applyBorder="1" applyAlignment="1" applyProtection="1">
      <alignment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5" borderId="12" xfId="0" applyFont="1" applyFill="1" applyBorder="1" applyAlignment="1" applyProtection="1">
      <alignment horizontal="right" vertical="center"/>
    </xf>
    <xf numFmtId="0" fontId="8" fillId="5" borderId="0" xfId="0" applyFont="1" applyFill="1" applyAlignment="1" applyProtection="1">
      <alignment horizontal="right" vertical="center"/>
    </xf>
    <xf numFmtId="0" fontId="3" fillId="5" borderId="0" xfId="0" applyFont="1" applyFill="1" applyAlignment="1" applyProtection="1">
      <alignment horizontal="right" vertical="center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>
      <alignment horizontal="left" vertical="center" wrapText="1"/>
    </xf>
    <xf numFmtId="0" fontId="2" fillId="0" borderId="24" xfId="0" applyFont="1" applyFill="1" applyBorder="1" applyAlignment="1" applyProtection="1">
      <alignment vertical="center"/>
    </xf>
    <xf numFmtId="0" fontId="3" fillId="0" borderId="1" xfId="0" applyFont="1" applyFill="1" applyBorder="1" applyAlignment="1" applyProtection="1">
      <alignment horizontal="center" vertical="center" wrapText="1"/>
    </xf>
    <xf numFmtId="3" fontId="2" fillId="0" borderId="16" xfId="0" applyNumberFormat="1" applyFont="1" applyFill="1" applyBorder="1" applyAlignment="1" applyProtection="1">
      <alignment horizontal="right" vertical="center"/>
      <protection locked="0"/>
    </xf>
    <xf numFmtId="9" fontId="3" fillId="0" borderId="1" xfId="3" applyFont="1" applyFill="1" applyBorder="1" applyAlignment="1" applyProtection="1">
      <alignment vertical="center"/>
    </xf>
    <xf numFmtId="0" fontId="2" fillId="0" borderId="17" xfId="0" applyNumberFormat="1" applyFont="1" applyFill="1" applyBorder="1" applyAlignment="1" applyProtection="1">
      <alignment vertical="center"/>
    </xf>
    <xf numFmtId="0" fontId="3" fillId="0" borderId="17" xfId="0" applyNumberFormat="1" applyFont="1" applyFill="1" applyBorder="1" applyAlignment="1" applyProtection="1">
      <alignment vertical="center"/>
    </xf>
    <xf numFmtId="0" fontId="3" fillId="0" borderId="25" xfId="0" applyNumberFormat="1" applyFont="1" applyFill="1" applyBorder="1" applyAlignment="1" applyProtection="1">
      <alignment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9" fontId="3" fillId="0" borderId="1" xfId="6" applyFont="1" applyFill="1" applyBorder="1" applyAlignment="1" applyProtection="1">
      <alignment horizontal="right" vertical="center"/>
      <protection locked="0"/>
    </xf>
    <xf numFmtId="0" fontId="3" fillId="0" borderId="1" xfId="6" applyNumberFormat="1" applyFont="1" applyFill="1" applyBorder="1" applyAlignment="1" applyProtection="1">
      <alignment horizontal="right" vertical="center"/>
      <protection locked="0"/>
    </xf>
    <xf numFmtId="0" fontId="8" fillId="5" borderId="1" xfId="0" applyFont="1" applyFill="1" applyBorder="1" applyAlignment="1" applyProtection="1">
      <alignment horizontal="right" vertical="center"/>
    </xf>
    <xf numFmtId="0" fontId="3" fillId="5" borderId="1" xfId="0" applyFont="1" applyFill="1" applyBorder="1" applyAlignment="1" applyProtection="1">
      <alignment horizontal="right" vertical="center"/>
    </xf>
    <xf numFmtId="0" fontId="3" fillId="5" borderId="1" xfId="0" applyFont="1" applyFill="1" applyBorder="1" applyAlignment="1" applyProtection="1">
      <alignment vertical="center"/>
    </xf>
    <xf numFmtId="0" fontId="18" fillId="0" borderId="0" xfId="0" applyFont="1" applyAlignment="1">
      <alignment wrapText="1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center" vertical="center"/>
    </xf>
    <xf numFmtId="0" fontId="4" fillId="2" borderId="62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Border="1" applyAlignment="1" applyProtection="1">
      <alignment horizontal="center" vertical="center"/>
    </xf>
    <xf numFmtId="0" fontId="3" fillId="0" borderId="9" xfId="0" applyNumberFormat="1" applyFont="1" applyFill="1" applyBorder="1" applyAlignment="1" applyProtection="1">
      <alignment horizontal="center" vertical="center"/>
    </xf>
    <xf numFmtId="0" fontId="3" fillId="0" borderId="15" xfId="1" applyNumberFormat="1" applyFont="1" applyFill="1" applyBorder="1" applyAlignment="1" applyProtection="1">
      <alignment horizontal="center" vertical="center"/>
    </xf>
    <xf numFmtId="0" fontId="2" fillId="0" borderId="15" xfId="1" applyNumberFormat="1" applyFont="1" applyFill="1" applyBorder="1" applyAlignment="1" applyProtection="1">
      <alignment horizontal="center" vertical="center"/>
    </xf>
    <xf numFmtId="0" fontId="2" fillId="0" borderId="32" xfId="1" applyNumberFormat="1" applyFont="1" applyFill="1" applyBorder="1" applyAlignment="1" applyProtection="1">
      <alignment horizontal="center" vertical="center"/>
    </xf>
    <xf numFmtId="0" fontId="3" fillId="0" borderId="15" xfId="4" applyNumberFormat="1" applyFont="1" applyFill="1" applyBorder="1" applyAlignment="1" applyProtection="1">
      <alignment horizontal="center" vertical="center"/>
    </xf>
    <xf numFmtId="0" fontId="3" fillId="0" borderId="32" xfId="1" applyNumberFormat="1" applyFont="1" applyFill="1" applyBorder="1" applyAlignment="1" applyProtection="1">
      <alignment horizontal="center" vertical="center"/>
    </xf>
    <xf numFmtId="1" fontId="3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1" xfId="5" applyNumberFormat="1" applyFont="1" applyFill="1" applyBorder="1" applyAlignment="1" applyProtection="1">
      <alignment horizontal="center" vertical="center"/>
      <protection locked="0"/>
    </xf>
    <xf numFmtId="1" fontId="2" fillId="0" borderId="33" xfId="5" applyNumberFormat="1" applyFont="1" applyFill="1" applyBorder="1" applyAlignment="1" applyProtection="1">
      <alignment horizontal="center" vertical="center"/>
      <protection locked="0"/>
    </xf>
    <xf numFmtId="1" fontId="2" fillId="0" borderId="1" xfId="5" applyNumberFormat="1" applyFont="1" applyBorder="1" applyAlignment="1" applyProtection="1">
      <alignment horizontal="center" vertical="center"/>
      <protection locked="0"/>
    </xf>
    <xf numFmtId="1" fontId="2" fillId="0" borderId="20" xfId="5" applyNumberFormat="1" applyFont="1" applyFill="1" applyBorder="1" applyAlignment="1" applyProtection="1">
      <alignment horizontal="center" vertical="center"/>
      <protection locked="0"/>
    </xf>
    <xf numFmtId="1" fontId="3" fillId="0" borderId="15" xfId="4" applyNumberFormat="1" applyFont="1" applyFill="1" applyBorder="1" applyAlignment="1" applyProtection="1">
      <alignment horizontal="center" vertical="center"/>
      <protection locked="0"/>
    </xf>
    <xf numFmtId="1" fontId="3" fillId="0" borderId="32" xfId="1" applyNumberFormat="1" applyFont="1" applyFill="1" applyBorder="1" applyAlignment="1" applyProtection="1">
      <alignment horizontal="center" vertical="center"/>
      <protection locked="0"/>
    </xf>
    <xf numFmtId="0" fontId="3" fillId="0" borderId="1" xfId="1" applyNumberFormat="1" applyFont="1" applyFill="1" applyBorder="1" applyAlignment="1" applyProtection="1">
      <alignment horizontal="center" vertical="center"/>
    </xf>
    <xf numFmtId="0" fontId="2" fillId="0" borderId="1" xfId="5" applyNumberFormat="1" applyFont="1" applyFill="1" applyBorder="1" applyAlignment="1" applyProtection="1">
      <alignment horizontal="center" vertical="center"/>
    </xf>
    <xf numFmtId="0" fontId="2" fillId="0" borderId="33" xfId="5" applyNumberFormat="1" applyFont="1" applyFill="1" applyBorder="1" applyAlignment="1" applyProtection="1">
      <alignment horizontal="center" vertical="center"/>
    </xf>
    <xf numFmtId="0" fontId="2" fillId="0" borderId="20" xfId="5" applyNumberFormat="1" applyFont="1" applyFill="1" applyBorder="1" applyAlignment="1" applyProtection="1">
      <alignment horizontal="center" vertical="center"/>
    </xf>
    <xf numFmtId="1" fontId="3" fillId="0" borderId="11" xfId="1" applyNumberFormat="1" applyFont="1" applyFill="1" applyBorder="1" applyAlignment="1" applyProtection="1">
      <alignment horizontal="center" vertical="center"/>
      <protection locked="0"/>
    </xf>
    <xf numFmtId="0" fontId="3" fillId="0" borderId="14" xfId="0" applyNumberFormat="1" applyFont="1" applyFill="1" applyBorder="1" applyAlignment="1" applyProtection="1">
      <alignment horizontal="center" vertical="center"/>
    </xf>
    <xf numFmtId="0" fontId="3" fillId="0" borderId="15" xfId="0" applyNumberFormat="1" applyFont="1" applyFill="1" applyBorder="1" applyAlignment="1" applyProtection="1">
      <alignment horizontal="center" vertical="center"/>
    </xf>
    <xf numFmtId="0" fontId="3" fillId="0" borderId="19" xfId="0" applyNumberFormat="1" applyFont="1" applyFill="1" applyBorder="1" applyAlignment="1" applyProtection="1">
      <alignment horizontal="center" vertical="center"/>
    </xf>
    <xf numFmtId="1" fontId="3" fillId="0" borderId="18" xfId="1" applyNumberFormat="1" applyFont="1" applyFill="1" applyBorder="1" applyAlignment="1" applyProtection="1">
      <alignment horizontal="center" vertical="center"/>
      <protection locked="0"/>
    </xf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1" fontId="3" fillId="0" borderId="19" xfId="1" applyNumberFormat="1" applyFont="1" applyFill="1" applyBorder="1" applyAlignment="1" applyProtection="1">
      <alignment horizontal="center" vertical="center"/>
      <protection locked="0"/>
    </xf>
    <xf numFmtId="1" fontId="3" fillId="0" borderId="14" xfId="1" applyNumberFormat="1" applyFont="1" applyFill="1" applyBorder="1" applyAlignment="1" applyProtection="1">
      <alignment horizontal="center" vertical="center"/>
      <protection locked="0"/>
    </xf>
    <xf numFmtId="1" fontId="3" fillId="0" borderId="13" xfId="1" applyNumberFormat="1" applyFont="1" applyFill="1" applyBorder="1" applyAlignment="1" applyProtection="1">
      <alignment horizontal="center" vertical="center"/>
      <protection locked="0"/>
    </xf>
    <xf numFmtId="1" fontId="3" fillId="0" borderId="20" xfId="1" applyNumberFormat="1" applyFont="1" applyFill="1" applyBorder="1" applyAlignment="1" applyProtection="1">
      <alignment horizontal="center" vertical="center"/>
      <protection locked="0"/>
    </xf>
    <xf numFmtId="1" fontId="3" fillId="0" borderId="21" xfId="1" applyNumberFormat="1" applyFont="1" applyFill="1" applyBorder="1" applyAlignment="1" applyProtection="1">
      <alignment horizontal="center" vertical="center"/>
      <protection locked="0"/>
    </xf>
    <xf numFmtId="1" fontId="3" fillId="0" borderId="0" xfId="1" applyNumberFormat="1" applyFont="1" applyFill="1" applyBorder="1" applyAlignment="1" applyProtection="1">
      <alignment horizontal="center" vertical="center"/>
      <protection locked="0"/>
    </xf>
    <xf numFmtId="1" fontId="3" fillId="0" borderId="23" xfId="1" applyNumberFormat="1" applyFont="1" applyFill="1" applyBorder="1" applyAlignment="1" applyProtection="1">
      <alignment horizontal="center" vertical="center"/>
      <protection locked="0"/>
    </xf>
    <xf numFmtId="0" fontId="3" fillId="0" borderId="14" xfId="1" applyNumberFormat="1" applyFont="1" applyFill="1" applyBorder="1" applyAlignment="1" applyProtection="1">
      <alignment horizontal="center" vertical="center"/>
    </xf>
    <xf numFmtId="0" fontId="3" fillId="0" borderId="19" xfId="1" applyNumberFormat="1" applyFont="1" applyFill="1" applyBorder="1" applyAlignment="1" applyProtection="1">
      <alignment horizontal="center" vertical="center"/>
    </xf>
    <xf numFmtId="1" fontId="3" fillId="0" borderId="27" xfId="1" applyNumberFormat="1" applyFont="1" applyFill="1" applyBorder="1" applyAlignment="1" applyProtection="1">
      <alignment horizontal="center" vertical="center"/>
      <protection locked="0"/>
    </xf>
    <xf numFmtId="1" fontId="3" fillId="0" borderId="28" xfId="1" applyNumberFormat="1" applyFont="1" applyFill="1" applyBorder="1" applyAlignment="1" applyProtection="1">
      <alignment horizontal="center" vertical="center"/>
      <protection locked="0"/>
    </xf>
    <xf numFmtId="1" fontId="3" fillId="0" borderId="29" xfId="1" applyNumberFormat="1" applyFont="1" applyFill="1" applyBorder="1" applyAlignment="1" applyProtection="1">
      <alignment horizontal="center" vertical="center"/>
      <protection locked="0"/>
    </xf>
    <xf numFmtId="1" fontId="3" fillId="0" borderId="33" xfId="1" applyNumberFormat="1" applyFont="1" applyFill="1" applyBorder="1" applyAlignment="1" applyProtection="1">
      <alignment horizontal="center" vertical="center"/>
      <protection locked="0"/>
    </xf>
    <xf numFmtId="1" fontId="3" fillId="0" borderId="34" xfId="1" applyNumberFormat="1" applyFont="1" applyFill="1" applyBorder="1" applyAlignment="1" applyProtection="1">
      <alignment horizontal="center" vertical="center"/>
      <protection locked="0"/>
    </xf>
    <xf numFmtId="3" fontId="3" fillId="0" borderId="0" xfId="1" applyNumberFormat="1" applyFont="1" applyFill="1" applyBorder="1" applyAlignment="1" applyProtection="1">
      <alignment horizontal="center" vertical="center"/>
    </xf>
    <xf numFmtId="3" fontId="3" fillId="0" borderId="40" xfId="1" applyNumberFormat="1" applyFont="1" applyFill="1" applyBorder="1" applyAlignment="1" applyProtection="1">
      <alignment horizontal="center" vertical="center"/>
    </xf>
    <xf numFmtId="3" fontId="3" fillId="0" borderId="24" xfId="1" applyNumberFormat="1" applyFont="1" applyFill="1" applyBorder="1" applyAlignment="1" applyProtection="1">
      <alignment horizontal="center" vertical="center"/>
    </xf>
    <xf numFmtId="1" fontId="3" fillId="0" borderId="47" xfId="4" applyNumberFormat="1" applyFont="1" applyFill="1" applyBorder="1" applyAlignment="1" applyProtection="1">
      <alignment horizontal="center" vertical="center"/>
      <protection locked="0"/>
    </xf>
    <xf numFmtId="1" fontId="5" fillId="0" borderId="44" xfId="1" applyNumberFormat="1" applyFont="1" applyFill="1" applyBorder="1" applyAlignment="1" applyProtection="1">
      <alignment horizontal="center" vertical="center"/>
      <protection locked="0"/>
    </xf>
    <xf numFmtId="1" fontId="4" fillId="0" borderId="38" xfId="5" applyNumberFormat="1" applyFont="1" applyFill="1" applyBorder="1" applyAlignment="1" applyProtection="1">
      <alignment horizontal="center" vertical="center"/>
      <protection locked="0"/>
    </xf>
    <xf numFmtId="1" fontId="4" fillId="0" borderId="45" xfId="5" applyNumberFormat="1" applyFont="1" applyFill="1" applyBorder="1" applyAlignment="1" applyProtection="1">
      <alignment horizontal="center" vertical="center"/>
      <protection locked="0"/>
    </xf>
    <xf numFmtId="1" fontId="4" fillId="0" borderId="46" xfId="5" applyNumberFormat="1" applyFont="1" applyFill="1" applyBorder="1" applyAlignment="1" applyProtection="1">
      <alignment horizontal="center" vertical="center"/>
      <protection locked="0"/>
    </xf>
    <xf numFmtId="1" fontId="5" fillId="0" borderId="57" xfId="1" applyNumberFormat="1" applyFont="1" applyFill="1" applyBorder="1" applyAlignment="1" applyProtection="1">
      <alignment horizontal="center" vertical="center"/>
      <protection locked="0"/>
    </xf>
    <xf numFmtId="3" fontId="3" fillId="0" borderId="9" xfId="0" applyNumberFormat="1" applyFont="1" applyFill="1" applyBorder="1" applyAlignment="1" applyProtection="1">
      <alignment horizontal="center" vertical="center"/>
    </xf>
    <xf numFmtId="3" fontId="3" fillId="0" borderId="0" xfId="0" applyNumberFormat="1" applyFont="1" applyFill="1" applyBorder="1" applyAlignment="1" applyProtection="1">
      <alignment horizontal="center" vertical="center"/>
    </xf>
    <xf numFmtId="3" fontId="3" fillId="0" borderId="48" xfId="0" applyNumberFormat="1" applyFont="1" applyFill="1" applyBorder="1" applyAlignment="1" applyProtection="1">
      <alignment horizontal="center" vertical="center"/>
    </xf>
    <xf numFmtId="3" fontId="3" fillId="0" borderId="49" xfId="4" applyNumberFormat="1" applyFont="1" applyFill="1" applyBorder="1" applyAlignment="1" applyProtection="1">
      <alignment horizontal="center" vertical="center"/>
      <protection locked="0"/>
    </xf>
    <xf numFmtId="3" fontId="3" fillId="0" borderId="49" xfId="1" applyNumberFormat="1" applyFont="1" applyFill="1" applyBorder="1" applyAlignment="1" applyProtection="1">
      <alignment horizontal="center" vertical="center"/>
      <protection locked="0"/>
    </xf>
    <xf numFmtId="3" fontId="3" fillId="0" borderId="64" xfId="1" applyNumberFormat="1" applyFont="1" applyFill="1" applyBorder="1" applyAlignment="1" applyProtection="1">
      <alignment horizontal="center" vertical="center"/>
      <protection locked="0"/>
    </xf>
    <xf numFmtId="3" fontId="3" fillId="0" borderId="16" xfId="4" applyNumberFormat="1" applyFont="1" applyFill="1" applyBorder="1" applyAlignment="1" applyProtection="1">
      <alignment horizontal="center" vertical="center"/>
      <protection locked="0"/>
    </xf>
    <xf numFmtId="3" fontId="3" fillId="0" borderId="14" xfId="1" applyNumberFormat="1" applyFont="1" applyFill="1" applyBorder="1" applyAlignment="1" applyProtection="1">
      <alignment horizontal="center" vertical="center"/>
      <protection locked="0"/>
    </xf>
    <xf numFmtId="3" fontId="3" fillId="0" borderId="1" xfId="1" applyNumberFormat="1" applyFont="1" applyFill="1" applyBorder="1" applyAlignment="1" applyProtection="1">
      <alignment horizontal="center" vertical="center"/>
      <protection locked="0"/>
    </xf>
    <xf numFmtId="3" fontId="3" fillId="0" borderId="19" xfId="1" applyNumberFormat="1" applyFont="1" applyFill="1" applyBorder="1" applyAlignment="1" applyProtection="1">
      <alignment horizontal="center" vertical="center"/>
      <protection locked="0"/>
    </xf>
    <xf numFmtId="3" fontId="3" fillId="0" borderId="50" xfId="4" applyNumberFormat="1" applyFont="1" applyFill="1" applyBorder="1" applyAlignment="1" applyProtection="1">
      <alignment horizontal="center" vertical="center"/>
      <protection locked="0"/>
    </xf>
    <xf numFmtId="3" fontId="3" fillId="0" borderId="50" xfId="1" applyNumberFormat="1" applyFont="1" applyFill="1" applyBorder="1" applyAlignment="1" applyProtection="1">
      <alignment horizontal="center" vertical="center"/>
      <protection locked="0"/>
    </xf>
    <xf numFmtId="3" fontId="3" fillId="0" borderId="65" xfId="1" applyNumberFormat="1" applyFont="1" applyFill="1" applyBorder="1" applyAlignment="1" applyProtection="1">
      <alignment horizontal="center" vertical="center"/>
      <protection locked="0"/>
    </xf>
    <xf numFmtId="3" fontId="3" fillId="0" borderId="29" xfId="1" applyNumberFormat="1" applyFont="1" applyFill="1" applyBorder="1" applyAlignment="1" applyProtection="1">
      <alignment horizontal="center" vertical="center"/>
      <protection locked="0"/>
    </xf>
    <xf numFmtId="3" fontId="3" fillId="0" borderId="27" xfId="1" applyNumberFormat="1" applyFont="1" applyFill="1" applyBorder="1" applyAlignment="1" applyProtection="1">
      <alignment horizontal="center" vertical="center"/>
      <protection locked="0"/>
    </xf>
    <xf numFmtId="3" fontId="3" fillId="0" borderId="22" xfId="1" applyNumberFormat="1" applyFont="1" applyFill="1" applyBorder="1" applyAlignment="1" applyProtection="1">
      <alignment horizontal="center" vertical="center"/>
      <protection locked="0"/>
    </xf>
    <xf numFmtId="3" fontId="3" fillId="0" borderId="40" xfId="0" applyNumberFormat="1" applyFont="1" applyFill="1" applyBorder="1" applyAlignment="1" applyProtection="1">
      <alignment horizontal="center" vertical="center"/>
    </xf>
    <xf numFmtId="3" fontId="3" fillId="0" borderId="16" xfId="0" applyNumberFormat="1" applyFont="1" applyFill="1" applyBorder="1" applyAlignment="1" applyProtection="1">
      <alignment horizontal="center" vertical="center"/>
      <protection locked="0"/>
    </xf>
    <xf numFmtId="3" fontId="3" fillId="0" borderId="14" xfId="0" applyNumberFormat="1" applyFont="1" applyFill="1" applyBorder="1" applyAlignment="1" applyProtection="1">
      <alignment horizontal="center" vertical="center"/>
      <protection locked="0"/>
    </xf>
    <xf numFmtId="3" fontId="3" fillId="0" borderId="19" xfId="0" applyNumberFormat="1" applyFont="1" applyFill="1" applyBorder="1" applyAlignment="1" applyProtection="1">
      <alignment horizontal="center" vertical="center"/>
      <protection locked="0"/>
    </xf>
    <xf numFmtId="3" fontId="3" fillId="0" borderId="35" xfId="0" applyNumberFormat="1" applyFont="1" applyFill="1" applyBorder="1" applyAlignment="1" applyProtection="1">
      <alignment horizontal="center" vertical="center"/>
      <protection locked="0"/>
    </xf>
    <xf numFmtId="3" fontId="3" fillId="0" borderId="15" xfId="0" applyNumberFormat="1" applyFont="1" applyFill="1" applyBorder="1" applyAlignment="1" applyProtection="1">
      <alignment horizontal="center" vertical="center"/>
      <protection locked="0"/>
    </xf>
    <xf numFmtId="3" fontId="3" fillId="0" borderId="32" xfId="0" applyNumberFormat="1" applyFont="1" applyFill="1" applyBorder="1" applyAlignment="1" applyProtection="1">
      <alignment horizontal="center" vertical="center"/>
      <protection locked="0"/>
    </xf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3" fontId="3" fillId="0" borderId="11" xfId="0" applyNumberFormat="1" applyFont="1" applyFill="1" applyBorder="1" applyAlignment="1" applyProtection="1">
      <alignment horizontal="center" vertical="center"/>
      <protection locked="0"/>
    </xf>
    <xf numFmtId="3" fontId="3" fillId="0" borderId="28" xfId="0" applyNumberFormat="1" applyFont="1" applyFill="1" applyBorder="1" applyAlignment="1" applyProtection="1">
      <alignment horizontal="center" vertical="center"/>
    </xf>
    <xf numFmtId="3" fontId="5" fillId="0" borderId="14" xfId="0" applyNumberFormat="1" applyFont="1" applyFill="1" applyBorder="1" applyAlignment="1" applyProtection="1">
      <alignment horizontal="center" vertical="center"/>
      <protection locked="0"/>
    </xf>
    <xf numFmtId="3" fontId="5" fillId="0" borderId="19" xfId="0" applyNumberFormat="1" applyFont="1" applyFill="1" applyBorder="1" applyAlignment="1" applyProtection="1">
      <alignment horizontal="center" vertical="center"/>
      <protection locked="0"/>
    </xf>
    <xf numFmtId="3" fontId="3" fillId="0" borderId="23" xfId="0" applyNumberFormat="1" applyFont="1" applyFill="1" applyBorder="1" applyAlignment="1" applyProtection="1">
      <alignment horizontal="center" vertical="center"/>
    </xf>
    <xf numFmtId="9" fontId="3" fillId="0" borderId="16" xfId="6" applyFont="1" applyFill="1" applyBorder="1" applyAlignment="1" applyProtection="1">
      <alignment horizontal="center" vertical="center"/>
      <protection locked="0"/>
    </xf>
    <xf numFmtId="0" fontId="3" fillId="0" borderId="48" xfId="0" applyFont="1" applyFill="1" applyBorder="1" applyAlignment="1" applyProtection="1">
      <alignment horizontal="center" vertical="center"/>
    </xf>
    <xf numFmtId="166" fontId="3" fillId="0" borderId="47" xfId="4" applyNumberFormat="1" applyFont="1" applyFill="1" applyBorder="1" applyAlignment="1" applyProtection="1">
      <alignment horizontal="center" vertical="center"/>
      <protection locked="0"/>
    </xf>
    <xf numFmtId="166" fontId="3" fillId="0" borderId="44" xfId="1" applyNumberFormat="1" applyFont="1" applyFill="1" applyBorder="1" applyAlignment="1" applyProtection="1">
      <alignment horizontal="center" vertical="center"/>
      <protection locked="0"/>
    </xf>
    <xf numFmtId="166" fontId="3" fillId="0" borderId="57" xfId="1" applyNumberFormat="1" applyFont="1" applyFill="1" applyBorder="1" applyAlignment="1" applyProtection="1">
      <alignment horizontal="center" vertical="center"/>
      <protection locked="0"/>
    </xf>
    <xf numFmtId="166" fontId="3" fillId="0" borderId="39" xfId="1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 applyProtection="1">
      <alignment horizontal="center" vertical="center"/>
    </xf>
    <xf numFmtId="3" fontId="2" fillId="0" borderId="16" xfId="0" applyNumberFormat="1" applyFont="1" applyFill="1" applyBorder="1" applyAlignment="1" applyProtection="1">
      <alignment horizontal="center" vertical="center"/>
      <protection locked="0"/>
    </xf>
    <xf numFmtId="9" fontId="3" fillId="0" borderId="0" xfId="3" applyFont="1" applyFill="1" applyBorder="1" applyAlignment="1" applyProtection="1">
      <alignment horizontal="center" vertical="center"/>
    </xf>
    <xf numFmtId="3" fontId="3" fillId="0" borderId="17" xfId="0" applyNumberFormat="1" applyFont="1" applyFill="1" applyBorder="1" applyAlignment="1" applyProtection="1">
      <alignment horizontal="center" vertical="center"/>
    </xf>
    <xf numFmtId="3" fontId="3" fillId="0" borderId="1" xfId="0" quotePrefix="1" applyNumberFormat="1" applyFont="1" applyFill="1" applyBorder="1" applyAlignment="1" applyProtection="1">
      <alignment horizontal="center" vertical="center"/>
      <protection locked="0"/>
    </xf>
    <xf numFmtId="3" fontId="3" fillId="0" borderId="56" xfId="0" applyNumberFormat="1" applyFont="1" applyFill="1" applyBorder="1" applyAlignment="1" applyProtection="1">
      <alignment horizontal="center" vertical="center"/>
      <protection locked="0"/>
    </xf>
    <xf numFmtId="3" fontId="3" fillId="0" borderId="52" xfId="0" applyNumberFormat="1" applyFont="1" applyFill="1" applyBorder="1" applyAlignment="1" applyProtection="1">
      <alignment horizontal="center" vertical="center"/>
      <protection locked="0"/>
    </xf>
    <xf numFmtId="3" fontId="3" fillId="0" borderId="52" xfId="1" applyNumberFormat="1" applyFont="1" applyFill="1" applyBorder="1" applyAlignment="1" applyProtection="1">
      <alignment horizontal="center" vertical="center"/>
      <protection locked="0"/>
    </xf>
    <xf numFmtId="3" fontId="3" fillId="0" borderId="58" xfId="0" applyNumberFormat="1" applyFont="1" applyFill="1" applyBorder="1" applyAlignment="1" applyProtection="1">
      <alignment horizontal="center" vertical="center"/>
      <protection locked="0"/>
    </xf>
    <xf numFmtId="46" fontId="3" fillId="0" borderId="11" xfId="7" applyNumberFormat="1" applyFont="1" applyFill="1" applyBorder="1" applyAlignment="1" applyProtection="1">
      <alignment horizontal="center" vertical="center"/>
    </xf>
    <xf numFmtId="46" fontId="3" fillId="0" borderId="24" xfId="7" applyNumberFormat="1" applyFont="1" applyFill="1" applyBorder="1" applyAlignment="1" applyProtection="1">
      <alignment horizontal="center" vertical="center"/>
    </xf>
    <xf numFmtId="46" fontId="3" fillId="0" borderId="1" xfId="7" applyNumberFormat="1" applyFont="1" applyFill="1" applyBorder="1" applyAlignment="1" applyProtection="1">
      <alignment horizontal="center" vertical="center"/>
    </xf>
    <xf numFmtId="46" fontId="3" fillId="0" borderId="22" xfId="7" applyNumberFormat="1" applyFont="1" applyFill="1" applyBorder="1" applyAlignment="1" applyProtection="1">
      <alignment horizontal="center" vertical="center"/>
    </xf>
    <xf numFmtId="168" fontId="3" fillId="0" borderId="22" xfId="7" applyNumberFormat="1" applyFont="1" applyFill="1" applyBorder="1" applyAlignment="1" applyProtection="1">
      <alignment horizontal="center" vertical="center"/>
      <protection locked="0"/>
    </xf>
    <xf numFmtId="166" fontId="3" fillId="0" borderId="1" xfId="5" applyNumberFormat="1" applyFont="1" applyFill="1" applyBorder="1" applyAlignment="1" applyProtection="1">
      <alignment horizontal="center" vertical="center"/>
    </xf>
    <xf numFmtId="166" fontId="3" fillId="0" borderId="11" xfId="5" applyNumberFormat="1" applyFont="1" applyFill="1" applyBorder="1" applyAlignment="1" applyProtection="1">
      <alignment horizontal="center" vertical="center"/>
    </xf>
    <xf numFmtId="9" fontId="3" fillId="0" borderId="24" xfId="8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9" fontId="3" fillId="0" borderId="11" xfId="0" applyNumberFormat="1" applyFont="1" applyFill="1" applyBorder="1" applyAlignment="1" applyProtection="1">
      <alignment horizontal="center" vertical="center"/>
    </xf>
    <xf numFmtId="0" fontId="3" fillId="5" borderId="24" xfId="0" applyFont="1" applyFill="1" applyBorder="1" applyAlignment="1" applyProtection="1">
      <alignment horizontal="center" vertical="center"/>
    </xf>
    <xf numFmtId="0" fontId="8" fillId="5" borderId="1" xfId="0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9" fontId="3" fillId="0" borderId="1" xfId="6" applyFont="1" applyFill="1" applyBorder="1" applyAlignment="1" applyProtection="1">
      <alignment horizontal="center" vertical="center"/>
      <protection locked="0"/>
    </xf>
    <xf numFmtId="0" fontId="3" fillId="0" borderId="1" xfId="6" applyNumberFormat="1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</xf>
    <xf numFmtId="170" fontId="3" fillId="0" borderId="14" xfId="3" applyNumberFormat="1" applyFont="1" applyFill="1" applyBorder="1" applyAlignment="1" applyProtection="1">
      <alignment horizontal="center" vertical="center"/>
      <protection locked="0"/>
    </xf>
    <xf numFmtId="170" fontId="3" fillId="0" borderId="16" xfId="6" applyNumberFormat="1" applyFont="1" applyFill="1" applyBorder="1" applyAlignment="1" applyProtection="1">
      <alignment horizontal="center" vertical="center"/>
      <protection locked="0"/>
    </xf>
    <xf numFmtId="170" fontId="3" fillId="0" borderId="19" xfId="3" applyNumberFormat="1" applyFont="1" applyFill="1" applyBorder="1" applyAlignment="1" applyProtection="1">
      <alignment horizontal="center" vertical="center"/>
      <protection locked="0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166" fontId="7" fillId="0" borderId="1" xfId="1" applyNumberFormat="1" applyFont="1" applyFill="1" applyBorder="1" applyAlignment="1" applyProtection="1">
      <alignment vertical="center"/>
    </xf>
    <xf numFmtId="166" fontId="7" fillId="0" borderId="11" xfId="1" applyNumberFormat="1" applyFont="1" applyFill="1" applyBorder="1" applyAlignment="1" applyProtection="1">
      <alignment vertical="center"/>
    </xf>
    <xf numFmtId="0" fontId="21" fillId="0" borderId="0" xfId="0" applyNumberFormat="1" applyFont="1" applyFill="1" applyBorder="1" applyAlignment="1" applyProtection="1">
      <alignment horizontal="center" vertical="center"/>
    </xf>
    <xf numFmtId="0" fontId="22" fillId="0" borderId="0" xfId="3" applyNumberFormat="1" applyFont="1" applyFill="1" applyBorder="1" applyAlignment="1" applyProtection="1">
      <alignment horizontal="center" vertical="center"/>
    </xf>
    <xf numFmtId="0" fontId="22" fillId="4" borderId="0" xfId="3" applyNumberFormat="1" applyFont="1" applyFill="1" applyBorder="1" applyAlignment="1" applyProtection="1">
      <alignment horizontal="center" vertical="center"/>
    </xf>
    <xf numFmtId="1" fontId="3" fillId="0" borderId="1" xfId="2" applyNumberFormat="1" applyFont="1" applyFill="1" applyBorder="1" applyAlignment="1" applyProtection="1">
      <alignment horizontal="center" vertical="center"/>
      <protection locked="0"/>
    </xf>
    <xf numFmtId="1" fontId="3" fillId="0" borderId="1" xfId="8" applyNumberFormat="1" applyFont="1" applyFill="1" applyBorder="1" applyAlignment="1" applyProtection="1">
      <alignment horizontal="center" vertical="center"/>
      <protection locked="0"/>
    </xf>
    <xf numFmtId="1" fontId="3" fillId="0" borderId="11" xfId="8" applyNumberFormat="1" applyFont="1" applyFill="1" applyBorder="1" applyAlignment="1" applyProtection="1">
      <alignment horizontal="center" vertical="center"/>
      <protection locked="0"/>
    </xf>
    <xf numFmtId="1" fontId="3" fillId="0" borderId="1" xfId="5" applyNumberFormat="1" applyFont="1" applyFill="1" applyBorder="1" applyAlignment="1" applyProtection="1">
      <alignment horizontal="center" vertical="center"/>
      <protection locked="0"/>
    </xf>
    <xf numFmtId="1" fontId="3" fillId="0" borderId="11" xfId="5" applyNumberFormat="1" applyFont="1" applyFill="1" applyBorder="1" applyAlignment="1" applyProtection="1">
      <alignment horizontal="center" vertical="center"/>
      <protection locked="0"/>
    </xf>
    <xf numFmtId="1" fontId="2" fillId="0" borderId="1" xfId="0" applyNumberFormat="1" applyFont="1" applyFill="1" applyBorder="1" applyAlignment="1" applyProtection="1">
      <alignment horizontal="center" vertical="center"/>
    </xf>
    <xf numFmtId="1" fontId="2" fillId="0" borderId="11" xfId="0" applyNumberFormat="1" applyFont="1" applyFill="1" applyBorder="1" applyAlignment="1" applyProtection="1">
      <alignment horizontal="center" vertical="center"/>
    </xf>
    <xf numFmtId="1" fontId="3" fillId="0" borderId="1" xfId="5" applyNumberFormat="1" applyFont="1" applyFill="1" applyBorder="1" applyAlignment="1" applyProtection="1">
      <alignment horizontal="center" vertical="center"/>
    </xf>
    <xf numFmtId="1" fontId="3" fillId="0" borderId="11" xfId="5" applyNumberFormat="1" applyFont="1" applyFill="1" applyBorder="1" applyAlignment="1" applyProtection="1">
      <alignment horizontal="center" vertical="center"/>
    </xf>
    <xf numFmtId="1" fontId="3" fillId="0" borderId="1" xfId="3" applyNumberFormat="1" applyFont="1" applyFill="1" applyBorder="1" applyAlignment="1" applyProtection="1">
      <alignment horizontal="center" vertical="center"/>
      <protection locked="0"/>
    </xf>
    <xf numFmtId="1" fontId="3" fillId="0" borderId="1" xfId="3" quotePrefix="1" applyNumberFormat="1" applyFont="1" applyFill="1" applyBorder="1" applyAlignment="1" applyProtection="1">
      <alignment horizontal="center" vertical="center"/>
      <protection locked="0"/>
    </xf>
    <xf numFmtId="1" fontId="2" fillId="4" borderId="1" xfId="3" applyNumberFormat="1" applyFont="1" applyFill="1" applyBorder="1" applyAlignment="1" applyProtection="1">
      <alignment horizontal="center" vertical="center"/>
    </xf>
    <xf numFmtId="41" fontId="8" fillId="0" borderId="1" xfId="2" applyFont="1" applyBorder="1" applyAlignment="1" applyProtection="1">
      <alignment horizontal="center" vertical="center"/>
    </xf>
    <xf numFmtId="170" fontId="8" fillId="0" borderId="1" xfId="3" applyNumberFormat="1" applyFont="1" applyBorder="1" applyAlignment="1" applyProtection="1">
      <alignment horizontal="center" vertical="center"/>
    </xf>
    <xf numFmtId="41" fontId="8" fillId="5" borderId="1" xfId="2" applyFont="1" applyFill="1" applyBorder="1" applyAlignment="1" applyProtection="1">
      <alignment horizontal="center" vertical="center"/>
    </xf>
    <xf numFmtId="9" fontId="2" fillId="0" borderId="24" xfId="3" applyFont="1" applyFill="1" applyBorder="1" applyAlignment="1" applyProtection="1">
      <alignment horizontal="center" vertical="center"/>
    </xf>
    <xf numFmtId="9" fontId="2" fillId="4" borderId="1" xfId="3" applyFont="1" applyFill="1" applyBorder="1" applyAlignment="1" applyProtection="1">
      <alignment horizontal="center" vertical="center"/>
    </xf>
    <xf numFmtId="166" fontId="8" fillId="0" borderId="1" xfId="0" applyNumberFormat="1" applyFont="1" applyBorder="1" applyAlignment="1" applyProtection="1">
      <alignment horizontal="center" vertical="center"/>
    </xf>
    <xf numFmtId="9" fontId="8" fillId="0" borderId="1" xfId="0" applyNumberFormat="1" applyFont="1" applyBorder="1" applyAlignment="1" applyProtection="1">
      <alignment horizontal="center" vertical="center"/>
    </xf>
    <xf numFmtId="9" fontId="3" fillId="0" borderId="1" xfId="0" applyNumberFormat="1" applyFont="1" applyBorder="1" applyAlignment="1" applyProtection="1">
      <alignment horizontal="center" vertical="center"/>
    </xf>
    <xf numFmtId="1" fontId="2" fillId="0" borderId="11" xfId="3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</xf>
    <xf numFmtId="0" fontId="23" fillId="0" borderId="0" xfId="22" applyFont="1" applyAlignment="1">
      <alignment vertical="center"/>
    </xf>
    <xf numFmtId="0" fontId="2" fillId="0" borderId="0" xfId="22" applyFont="1" applyAlignment="1">
      <alignment vertical="center"/>
    </xf>
    <xf numFmtId="0" fontId="3" fillId="0" borderId="0" xfId="22" applyFont="1" applyAlignment="1">
      <alignment vertical="center"/>
    </xf>
    <xf numFmtId="0" fontId="24" fillId="0" borderId="0" xfId="22" applyFont="1" applyAlignment="1">
      <alignment horizontal="center" vertical="center"/>
    </xf>
    <xf numFmtId="0" fontId="24" fillId="0" borderId="0" xfId="22" applyFont="1" applyFill="1" applyAlignment="1">
      <alignment horizontal="center" vertical="center"/>
    </xf>
    <xf numFmtId="0" fontId="24" fillId="0" borderId="0" xfId="22" applyFont="1" applyAlignment="1">
      <alignment vertical="center"/>
    </xf>
    <xf numFmtId="0" fontId="7" fillId="0" borderId="1" xfId="22" applyFont="1" applyBorder="1" applyAlignment="1">
      <alignment vertical="center"/>
    </xf>
    <xf numFmtId="0" fontId="2" fillId="0" borderId="1" xfId="22" applyFont="1" applyBorder="1" applyAlignment="1">
      <alignment vertical="center"/>
    </xf>
    <xf numFmtId="0" fontId="3" fillId="0" borderId="1" xfId="22" applyFont="1" applyBorder="1" applyAlignment="1">
      <alignment vertical="center"/>
    </xf>
    <xf numFmtId="0" fontId="25" fillId="0" borderId="0" xfId="22" applyFont="1" applyAlignment="1">
      <alignment vertical="center"/>
    </xf>
    <xf numFmtId="0" fontId="26" fillId="0" borderId="0" xfId="22" applyFont="1" applyAlignment="1">
      <alignment vertical="center"/>
    </xf>
    <xf numFmtId="0" fontId="27" fillId="0" borderId="0" xfId="22" quotePrefix="1" applyFont="1" applyBorder="1" applyAlignment="1">
      <alignment horizontal="left" vertical="center"/>
    </xf>
    <xf numFmtId="0" fontId="25" fillId="0" borderId="0" xfId="22" applyFont="1" applyBorder="1" applyAlignment="1">
      <alignment vertical="center"/>
    </xf>
    <xf numFmtId="0" fontId="26" fillId="0" borderId="0" xfId="22" applyFont="1" applyBorder="1" applyAlignment="1">
      <alignment vertical="center"/>
    </xf>
    <xf numFmtId="0" fontId="24" fillId="0" borderId="0" xfId="22" applyFont="1" applyBorder="1" applyAlignment="1">
      <alignment vertical="center"/>
    </xf>
    <xf numFmtId="0" fontId="24" fillId="0" borderId="0" xfId="22" applyFont="1" applyBorder="1" applyAlignment="1">
      <alignment horizontal="center" vertical="center"/>
    </xf>
    <xf numFmtId="0" fontId="24" fillId="0" borderId="0" xfId="22" applyFont="1" applyFill="1" applyBorder="1" applyAlignment="1">
      <alignment horizontal="center" vertical="center"/>
    </xf>
    <xf numFmtId="0" fontId="27" fillId="0" borderId="3" xfId="22" applyFont="1" applyBorder="1" applyAlignment="1">
      <alignment horizontal="center" vertical="center"/>
    </xf>
    <xf numFmtId="0" fontId="24" fillId="0" borderId="3" xfId="22" applyFont="1" applyBorder="1" applyAlignment="1">
      <alignment horizontal="center" vertical="center"/>
    </xf>
    <xf numFmtId="0" fontId="24" fillId="0" borderId="3" xfId="22" applyFont="1" applyBorder="1" applyAlignment="1">
      <alignment horizontal="center" vertical="center" wrapText="1"/>
    </xf>
    <xf numFmtId="0" fontId="27" fillId="0" borderId="0" xfId="22" applyFont="1" applyAlignment="1">
      <alignment horizontal="center" vertical="center"/>
    </xf>
    <xf numFmtId="0" fontId="27" fillId="0" borderId="8" xfId="22" applyFont="1" applyBorder="1" applyAlignment="1">
      <alignment horizontal="center" vertical="center"/>
    </xf>
    <xf numFmtId="0" fontId="24" fillId="5" borderId="0" xfId="22" applyFont="1" applyFill="1" applyBorder="1" applyAlignment="1">
      <alignment vertical="center"/>
    </xf>
    <xf numFmtId="0" fontId="24" fillId="0" borderId="9" xfId="22" applyFont="1" applyBorder="1" applyAlignment="1">
      <alignment horizontal="center" vertical="center"/>
    </xf>
    <xf numFmtId="0" fontId="27" fillId="0" borderId="10" xfId="22" applyFont="1" applyBorder="1" applyAlignment="1">
      <alignment horizontal="center" vertical="center"/>
    </xf>
    <xf numFmtId="0" fontId="28" fillId="0" borderId="1" xfId="22" applyFont="1" applyBorder="1" applyAlignment="1">
      <alignment vertical="center"/>
    </xf>
    <xf numFmtId="0" fontId="24" fillId="0" borderId="11" xfId="22" applyFont="1" applyBorder="1" applyAlignment="1">
      <alignment vertical="center"/>
    </xf>
    <xf numFmtId="0" fontId="24" fillId="0" borderId="12" xfId="22" applyFont="1" applyBorder="1" applyAlignment="1">
      <alignment vertical="center"/>
    </xf>
    <xf numFmtId="0" fontId="24" fillId="0" borderId="1" xfId="22" applyFont="1" applyBorder="1" applyAlignment="1">
      <alignment horizontal="center" vertical="center"/>
    </xf>
    <xf numFmtId="0" fontId="24" fillId="0" borderId="1" xfId="22" applyFont="1" applyFill="1" applyBorder="1" applyAlignment="1">
      <alignment horizontal="center" vertical="center"/>
    </xf>
    <xf numFmtId="0" fontId="24" fillId="0" borderId="13" xfId="22" applyFont="1" applyBorder="1" applyAlignment="1">
      <alignment horizontal="center" vertical="center"/>
    </xf>
    <xf numFmtId="0" fontId="24" fillId="0" borderId="14" xfId="22" applyFont="1" applyFill="1" applyBorder="1" applyAlignment="1">
      <alignment horizontal="center" vertical="center"/>
    </xf>
    <xf numFmtId="0" fontId="24" fillId="0" borderId="14" xfId="22" applyFont="1" applyBorder="1" applyAlignment="1">
      <alignment horizontal="center" vertical="center"/>
    </xf>
    <xf numFmtId="0" fontId="24" fillId="0" borderId="16" xfId="22" applyFont="1" applyBorder="1" applyAlignment="1">
      <alignment horizontal="center" vertical="center"/>
    </xf>
    <xf numFmtId="165" fontId="24" fillId="0" borderId="1" xfId="22" applyNumberFormat="1" applyFont="1" applyBorder="1" applyAlignment="1">
      <alignment horizontal="left" vertical="center"/>
    </xf>
    <xf numFmtId="166" fontId="8" fillId="0" borderId="18" xfId="24" applyNumberFormat="1" applyFont="1" applyFill="1" applyBorder="1" applyAlignment="1">
      <alignment horizontal="center" vertical="center"/>
    </xf>
    <xf numFmtId="166" fontId="8" fillId="0" borderId="16" xfId="24" applyNumberFormat="1" applyFont="1" applyBorder="1" applyAlignment="1">
      <alignment horizontal="center" vertical="center"/>
    </xf>
    <xf numFmtId="166" fontId="8" fillId="0" borderId="14" xfId="24" applyNumberFormat="1" applyFont="1" applyBorder="1" applyAlignment="1">
      <alignment horizontal="center" vertical="center"/>
    </xf>
    <xf numFmtId="0" fontId="24" fillId="0" borderId="1" xfId="22" applyFont="1" applyBorder="1" applyAlignment="1">
      <alignment vertical="center" wrapText="1"/>
    </xf>
    <xf numFmtId="166" fontId="24" fillId="0" borderId="14" xfId="24" applyNumberFormat="1" applyFont="1" applyFill="1" applyBorder="1" applyAlignment="1">
      <alignment horizontal="center" vertical="center"/>
    </xf>
    <xf numFmtId="166" fontId="24" fillId="0" borderId="16" xfId="24" applyNumberFormat="1" applyFont="1" applyFill="1" applyBorder="1" applyAlignment="1">
      <alignment horizontal="center" vertical="center"/>
    </xf>
    <xf numFmtId="0" fontId="24" fillId="0" borderId="1" xfId="22" applyFont="1" applyBorder="1" applyAlignment="1">
      <alignment vertical="center"/>
    </xf>
    <xf numFmtId="166" fontId="24" fillId="0" borderId="16" xfId="24" applyNumberFormat="1" applyFont="1" applyBorder="1" applyAlignment="1">
      <alignment horizontal="center" vertical="center"/>
    </xf>
    <xf numFmtId="0" fontId="27" fillId="0" borderId="10" xfId="22" applyFont="1" applyFill="1" applyBorder="1" applyAlignment="1">
      <alignment horizontal="center" vertical="center"/>
    </xf>
    <xf numFmtId="0" fontId="25" fillId="0" borderId="0" xfId="22" applyFont="1" applyFill="1" applyBorder="1" applyAlignment="1">
      <alignment vertical="center"/>
    </xf>
    <xf numFmtId="0" fontId="27" fillId="7" borderId="1" xfId="22" applyFont="1" applyFill="1" applyBorder="1" applyAlignment="1">
      <alignment vertical="center" wrapText="1"/>
    </xf>
    <xf numFmtId="0" fontId="27" fillId="7" borderId="1" xfId="22" applyFont="1" applyFill="1" applyBorder="1" applyAlignment="1">
      <alignment horizontal="right" vertical="center"/>
    </xf>
    <xf numFmtId="0" fontId="27" fillId="7" borderId="1" xfId="22" applyFont="1" applyFill="1" applyBorder="1" applyAlignment="1">
      <alignment horizontal="center" vertical="center"/>
    </xf>
    <xf numFmtId="166" fontId="27" fillId="7" borderId="14" xfId="24" applyNumberFormat="1" applyFont="1" applyFill="1" applyBorder="1" applyAlignment="1">
      <alignment horizontal="center" vertical="center"/>
    </xf>
    <xf numFmtId="0" fontId="27" fillId="0" borderId="0" xfId="22" applyFont="1" applyFill="1" applyAlignment="1">
      <alignment vertical="center"/>
    </xf>
    <xf numFmtId="0" fontId="24" fillId="0" borderId="1" xfId="22" applyFont="1" applyFill="1" applyBorder="1" applyAlignment="1">
      <alignment vertical="center" wrapText="1"/>
    </xf>
    <xf numFmtId="0" fontId="27" fillId="7" borderId="12" xfId="22" applyFont="1" applyFill="1" applyBorder="1" applyAlignment="1">
      <alignment horizontal="right" vertical="center"/>
    </xf>
    <xf numFmtId="0" fontId="24" fillId="0" borderId="11" xfId="22" applyFont="1" applyBorder="1" applyAlignment="1">
      <alignment vertical="center" wrapText="1"/>
    </xf>
    <xf numFmtId="166" fontId="24" fillId="0" borderId="15" xfId="24" applyNumberFormat="1" applyFont="1" applyFill="1" applyBorder="1" applyAlignment="1">
      <alignment horizontal="center" vertical="center"/>
    </xf>
    <xf numFmtId="166" fontId="24" fillId="0" borderId="14" xfId="24" applyNumberFormat="1" applyFont="1" applyBorder="1" applyAlignment="1">
      <alignment horizontal="center" vertical="center"/>
    </xf>
    <xf numFmtId="166" fontId="8" fillId="0" borderId="1" xfId="24" applyNumberFormat="1" applyFont="1" applyFill="1" applyBorder="1" applyAlignment="1">
      <alignment horizontal="center" vertical="center"/>
    </xf>
    <xf numFmtId="166" fontId="8" fillId="0" borderId="23" xfId="24" applyNumberFormat="1" applyFont="1" applyBorder="1" applyAlignment="1">
      <alignment horizontal="center" vertical="center"/>
    </xf>
    <xf numFmtId="0" fontId="24" fillId="0" borderId="1" xfId="22" applyFont="1" applyFill="1" applyBorder="1" applyAlignment="1">
      <alignment vertical="center"/>
    </xf>
    <xf numFmtId="166" fontId="24" fillId="0" borderId="29" xfId="24" applyNumberFormat="1" applyFont="1" applyFill="1" applyBorder="1" applyAlignment="1">
      <alignment horizontal="center" vertical="center"/>
    </xf>
    <xf numFmtId="0" fontId="24" fillId="0" borderId="0" xfId="22" applyFont="1" applyFill="1" applyAlignment="1">
      <alignment vertical="center"/>
    </xf>
    <xf numFmtId="0" fontId="25" fillId="0" borderId="10" xfId="22" applyFont="1" applyFill="1" applyBorder="1" applyAlignment="1">
      <alignment vertical="center"/>
    </xf>
    <xf numFmtId="0" fontId="27" fillId="0" borderId="37" xfId="22" applyFont="1" applyFill="1" applyBorder="1" applyAlignment="1">
      <alignment horizontal="center" vertical="center"/>
    </xf>
    <xf numFmtId="0" fontId="27" fillId="7" borderId="38" xfId="22" applyFont="1" applyFill="1" applyBorder="1" applyAlignment="1">
      <alignment horizontal="right" vertical="center"/>
    </xf>
    <xf numFmtId="0" fontId="27" fillId="7" borderId="38" xfId="22" applyFont="1" applyFill="1" applyBorder="1" applyAlignment="1">
      <alignment horizontal="center" vertical="center"/>
    </xf>
    <xf numFmtId="166" fontId="27" fillId="7" borderId="39" xfId="24" applyNumberFormat="1" applyFont="1" applyFill="1" applyBorder="1" applyAlignment="1">
      <alignment horizontal="center" vertical="center"/>
    </xf>
    <xf numFmtId="0" fontId="7" fillId="0" borderId="10" xfId="22" applyFont="1" applyBorder="1" applyAlignment="1">
      <alignment horizontal="center" vertical="center"/>
    </xf>
    <xf numFmtId="0" fontId="2" fillId="0" borderId="0" xfId="22" applyFont="1" applyBorder="1" applyAlignment="1">
      <alignment vertical="center"/>
    </xf>
    <xf numFmtId="0" fontId="3" fillId="0" borderId="0" xfId="22" applyFont="1" applyBorder="1" applyAlignment="1">
      <alignment vertical="center"/>
    </xf>
    <xf numFmtId="164" fontId="3" fillId="0" borderId="0" xfId="25" applyNumberFormat="1" applyFont="1" applyBorder="1" applyAlignment="1">
      <alignment vertical="center" wrapText="1"/>
    </xf>
    <xf numFmtId="0" fontId="3" fillId="0" borderId="22" xfId="22" applyFont="1" applyFill="1" applyBorder="1" applyAlignment="1">
      <alignment horizontal="center" vertical="center"/>
    </xf>
    <xf numFmtId="0" fontId="2" fillId="0" borderId="22" xfId="22" applyFont="1" applyFill="1" applyBorder="1" applyAlignment="1">
      <alignment horizontal="center" vertical="center"/>
    </xf>
    <xf numFmtId="0" fontId="24" fillId="0" borderId="22" xfId="22" applyFont="1" applyBorder="1" applyAlignment="1">
      <alignment horizontal="center" vertical="center"/>
    </xf>
    <xf numFmtId="0" fontId="24" fillId="0" borderId="22" xfId="22" applyFont="1" applyFill="1" applyBorder="1" applyAlignment="1">
      <alignment horizontal="center" vertical="center"/>
    </xf>
    <xf numFmtId="0" fontId="2" fillId="0" borderId="36" xfId="22" applyFont="1" applyBorder="1" applyAlignment="1">
      <alignment vertical="center"/>
    </xf>
    <xf numFmtId="164" fontId="3" fillId="0" borderId="11" xfId="25" applyNumberFormat="1" applyFont="1" applyBorder="1" applyAlignment="1">
      <alignment vertical="center"/>
    </xf>
    <xf numFmtId="0" fontId="3" fillId="0" borderId="24" xfId="22" applyFont="1" applyBorder="1" applyAlignment="1">
      <alignment vertical="center"/>
    </xf>
    <xf numFmtId="0" fontId="3" fillId="0" borderId="1" xfId="22" applyFont="1" applyFill="1" applyBorder="1" applyAlignment="1">
      <alignment horizontal="center" vertical="center"/>
    </xf>
    <xf numFmtId="166" fontId="2" fillId="0" borderId="1" xfId="22" applyNumberFormat="1" applyFont="1" applyFill="1" applyBorder="1" applyAlignment="1">
      <alignment horizontal="center" vertical="center"/>
    </xf>
    <xf numFmtId="0" fontId="7" fillId="0" borderId="37" xfId="22" applyFont="1" applyFill="1" applyBorder="1" applyAlignment="1">
      <alignment horizontal="center" vertical="center"/>
    </xf>
    <xf numFmtId="0" fontId="2" fillId="0" borderId="37" xfId="22" applyFont="1" applyFill="1" applyBorder="1" applyAlignment="1">
      <alignment vertical="center"/>
    </xf>
    <xf numFmtId="164" fontId="2" fillId="7" borderId="41" xfId="25" applyNumberFormat="1" applyFont="1" applyFill="1" applyBorder="1" applyAlignment="1">
      <alignment vertical="center" wrapText="1"/>
    </xf>
    <xf numFmtId="0" fontId="2" fillId="7" borderId="42" xfId="22" applyFont="1" applyFill="1" applyBorder="1" applyAlignment="1">
      <alignment horizontal="right" vertical="center"/>
    </xf>
    <xf numFmtId="0" fontId="2" fillId="7" borderId="38" xfId="22" applyFont="1" applyFill="1" applyBorder="1" applyAlignment="1">
      <alignment horizontal="center" vertical="center"/>
    </xf>
    <xf numFmtId="166" fontId="2" fillId="7" borderId="37" xfId="22" applyNumberFormat="1" applyFont="1" applyFill="1" applyBorder="1" applyAlignment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  <protection locked="0"/>
    </xf>
    <xf numFmtId="10" fontId="3" fillId="0" borderId="1" xfId="0" applyNumberFormat="1" applyFont="1" applyBorder="1" applyAlignment="1" applyProtection="1">
      <alignment horizontal="center" vertical="center"/>
    </xf>
    <xf numFmtId="0" fontId="3" fillId="5" borderId="0" xfId="0" applyFont="1" applyFill="1" applyAlignment="1" applyProtection="1">
      <alignment vertical="center"/>
    </xf>
    <xf numFmtId="0" fontId="2" fillId="5" borderId="10" xfId="0" applyFont="1" applyFill="1" applyBorder="1" applyAlignment="1" applyProtection="1">
      <alignment horizontal="center" vertical="center"/>
    </xf>
    <xf numFmtId="0" fontId="2" fillId="5" borderId="36" xfId="0" applyFont="1" applyFill="1" applyBorder="1" applyAlignment="1" applyProtection="1">
      <alignment vertical="center"/>
    </xf>
    <xf numFmtId="0" fontId="3" fillId="5" borderId="9" xfId="0" applyFont="1" applyFill="1" applyBorder="1" applyAlignment="1" applyProtection="1">
      <alignment vertical="center"/>
    </xf>
    <xf numFmtId="0" fontId="3" fillId="5" borderId="12" xfId="0" applyFont="1" applyFill="1" applyBorder="1" applyAlignment="1" applyProtection="1">
      <alignment vertical="center"/>
    </xf>
    <xf numFmtId="0" fontId="17" fillId="5" borderId="12" xfId="0" applyFont="1" applyFill="1" applyBorder="1" applyAlignment="1" applyProtection="1">
      <alignment horizontal="right" vertical="center"/>
    </xf>
    <xf numFmtId="9" fontId="3" fillId="5" borderId="1" xfId="0" applyNumberFormat="1" applyFont="1" applyFill="1" applyBorder="1" applyAlignment="1" applyProtection="1">
      <alignment horizontal="right" vertical="center"/>
    </xf>
    <xf numFmtId="0" fontId="2" fillId="5" borderId="22" xfId="0" applyFont="1" applyFill="1" applyBorder="1" applyAlignment="1" applyProtection="1">
      <alignment horizontal="center" vertical="center"/>
    </xf>
    <xf numFmtId="0" fontId="2" fillId="5" borderId="30" xfId="0" applyFont="1" applyFill="1" applyBorder="1" applyAlignment="1" applyProtection="1">
      <alignment vertical="center"/>
    </xf>
    <xf numFmtId="10" fontId="3" fillId="5" borderId="1" xfId="0" applyNumberFormat="1" applyFont="1" applyFill="1" applyBorder="1" applyAlignment="1" applyProtection="1">
      <alignment horizontal="center" vertical="center"/>
    </xf>
    <xf numFmtId="170" fontId="2" fillId="4" borderId="1" xfId="3" applyNumberFormat="1" applyFont="1" applyFill="1" applyBorder="1" applyAlignment="1" applyProtection="1">
      <alignment horizontal="center" vertical="center"/>
    </xf>
    <xf numFmtId="9" fontId="0" fillId="0" borderId="0" xfId="3" applyFont="1"/>
    <xf numFmtId="170" fontId="0" fillId="0" borderId="0" xfId="3" applyNumberFormat="1" applyFont="1"/>
    <xf numFmtId="0" fontId="30" fillId="0" borderId="0" xfId="0" applyFont="1"/>
    <xf numFmtId="21" fontId="0" fillId="0" borderId="0" xfId="0" applyNumberFormat="1"/>
    <xf numFmtId="0" fontId="3" fillId="0" borderId="1" xfId="0" applyFont="1" applyFill="1" applyBorder="1" applyAlignment="1" applyProtection="1">
      <alignment horizontal="left" vertical="center"/>
    </xf>
    <xf numFmtId="43" fontId="3" fillId="0" borderId="11" xfId="1" applyFont="1" applyFill="1" applyBorder="1" applyAlignment="1" applyProtection="1">
      <alignment horizontal="left" vertical="center" wrapText="1"/>
    </xf>
    <xf numFmtId="43" fontId="3" fillId="0" borderId="12" xfId="1" applyFont="1" applyFill="1" applyBorder="1" applyAlignment="1" applyProtection="1">
      <alignment horizontal="left" vertical="center" wrapText="1"/>
    </xf>
    <xf numFmtId="0" fontId="2" fillId="0" borderId="11" xfId="0" applyFont="1" applyFill="1" applyBorder="1" applyAlignment="1" applyProtection="1">
      <alignment horizontal="left" vertical="center" wrapText="1"/>
    </xf>
    <xf numFmtId="0" fontId="2" fillId="0" borderId="24" xfId="0" applyFont="1" applyFill="1" applyBorder="1" applyAlignment="1" applyProtection="1">
      <alignment horizontal="left" vertical="center" wrapText="1"/>
    </xf>
    <xf numFmtId="0" fontId="2" fillId="0" borderId="12" xfId="0" applyFont="1" applyFill="1" applyBorder="1" applyAlignment="1" applyProtection="1">
      <alignment horizontal="left" vertical="center" wrapText="1"/>
    </xf>
    <xf numFmtId="0" fontId="3" fillId="0" borderId="48" xfId="0" applyFont="1" applyFill="1" applyBorder="1" applyAlignment="1" applyProtection="1">
      <alignment horizontal="right" vertical="center"/>
    </xf>
    <xf numFmtId="0" fontId="3" fillId="0" borderId="31" xfId="0" applyFont="1" applyFill="1" applyBorder="1" applyAlignment="1" applyProtection="1">
      <alignment horizontal="right" vertical="center"/>
    </xf>
    <xf numFmtId="0" fontId="3" fillId="0" borderId="17" xfId="0" applyFont="1" applyFill="1" applyBorder="1" applyAlignment="1" applyProtection="1">
      <alignment horizontal="center" vertical="center" textRotation="90" wrapText="1"/>
    </xf>
    <xf numFmtId="0" fontId="3" fillId="0" borderId="10" xfId="0" applyFont="1" applyFill="1" applyBorder="1" applyAlignment="1" applyProtection="1">
      <alignment horizontal="center" vertical="center" textRotation="90" wrapText="1"/>
    </xf>
    <xf numFmtId="0" fontId="3" fillId="0" borderId="22" xfId="0" applyFont="1" applyFill="1" applyBorder="1" applyAlignment="1" applyProtection="1">
      <alignment horizontal="center" vertical="center" textRotation="90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textRotation="90"/>
    </xf>
    <xf numFmtId="0" fontId="3" fillId="0" borderId="1" xfId="0" applyFont="1" applyFill="1" applyBorder="1" applyAlignment="1" applyProtection="1">
      <alignment horizontal="center" vertical="center" textRotation="90" wrapText="1"/>
    </xf>
    <xf numFmtId="0" fontId="3" fillId="0" borderId="1" xfId="0" applyFont="1" applyFill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2" fillId="0" borderId="24" xfId="0" applyFont="1" applyFill="1" applyBorder="1" applyAlignment="1" applyProtection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7" xfId="0" applyFont="1" applyFill="1" applyBorder="1" applyAlignment="1" applyProtection="1">
      <alignment horizontal="center" vertical="center" textRotation="90"/>
    </xf>
    <xf numFmtId="0" fontId="3" fillId="0" borderId="10" xfId="0" applyFont="1" applyFill="1" applyBorder="1" applyAlignment="1" applyProtection="1">
      <alignment horizontal="center" vertical="center" textRotation="90"/>
    </xf>
    <xf numFmtId="0" fontId="3" fillId="0" borderId="22" xfId="0" applyFont="1" applyFill="1" applyBorder="1" applyAlignment="1" applyProtection="1">
      <alignment horizontal="center" vertical="center" textRotation="90"/>
    </xf>
    <xf numFmtId="0" fontId="3" fillId="0" borderId="17" xfId="0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3" fillId="0" borderId="22" xfId="0" applyFont="1" applyFill="1" applyBorder="1" applyAlignment="1" applyProtection="1">
      <alignment horizontal="center" vertical="center" wrapText="1"/>
    </xf>
    <xf numFmtId="43" fontId="3" fillId="0" borderId="25" xfId="1" applyFont="1" applyFill="1" applyBorder="1" applyAlignment="1" applyProtection="1">
      <alignment horizontal="left" vertical="center" wrapText="1"/>
    </xf>
    <xf numFmtId="43" fontId="3" fillId="0" borderId="26" xfId="1" applyFont="1" applyFill="1" applyBorder="1" applyAlignment="1" applyProtection="1">
      <alignment horizontal="left" vertical="center" wrapText="1"/>
    </xf>
    <xf numFmtId="43" fontId="3" fillId="0" borderId="30" xfId="1" applyFont="1" applyFill="1" applyBorder="1" applyAlignment="1" applyProtection="1">
      <alignment horizontal="left" vertical="center" wrapText="1"/>
    </xf>
    <xf numFmtId="43" fontId="3" fillId="0" borderId="31" xfId="1" applyFont="1" applyFill="1" applyBorder="1" applyAlignment="1" applyProtection="1">
      <alignment horizontal="left" vertical="center" wrapText="1"/>
    </xf>
    <xf numFmtId="0" fontId="27" fillId="7" borderId="41" xfId="22" applyFont="1" applyFill="1" applyBorder="1" applyAlignment="1">
      <alignment horizontal="center" vertical="center" wrapText="1"/>
    </xf>
    <xf numFmtId="0" fontId="27" fillId="7" borderId="42" xfId="22" applyFont="1" applyFill="1" applyBorder="1" applyAlignment="1">
      <alignment horizontal="center" vertical="center" wrapText="1"/>
    </xf>
    <xf numFmtId="0" fontId="27" fillId="7" borderId="43" xfId="22" applyFont="1" applyFill="1" applyBorder="1" applyAlignment="1">
      <alignment horizontal="center" vertical="center" wrapText="1"/>
    </xf>
    <xf numFmtId="0" fontId="3" fillId="0" borderId="17" xfId="22" applyFont="1" applyBorder="1" applyAlignment="1">
      <alignment horizontal="center" vertical="center" textRotation="90" wrapText="1"/>
    </xf>
    <xf numFmtId="0" fontId="3" fillId="0" borderId="10" xfId="22" applyFont="1" applyBorder="1" applyAlignment="1">
      <alignment horizontal="center" vertical="center" textRotation="90" wrapText="1"/>
    </xf>
    <xf numFmtId="0" fontId="3" fillId="0" borderId="37" xfId="22" applyFont="1" applyBorder="1" applyAlignment="1">
      <alignment horizontal="center" vertical="center" textRotation="90" wrapText="1"/>
    </xf>
    <xf numFmtId="0" fontId="27" fillId="7" borderId="11" xfId="22" applyFont="1" applyFill="1" applyBorder="1" applyAlignment="1">
      <alignment horizontal="left" vertical="center" wrapText="1"/>
    </xf>
    <xf numFmtId="0" fontId="27" fillId="7" borderId="24" xfId="22" applyFont="1" applyFill="1" applyBorder="1" applyAlignment="1">
      <alignment horizontal="left" vertical="center" wrapText="1"/>
    </xf>
    <xf numFmtId="43" fontId="24" fillId="0" borderId="25" xfId="24" applyNumberFormat="1" applyFont="1" applyBorder="1" applyAlignment="1">
      <alignment horizontal="left" vertical="center" wrapText="1"/>
    </xf>
    <xf numFmtId="43" fontId="24" fillId="0" borderId="26" xfId="24" applyNumberFormat="1" applyFont="1" applyBorder="1" applyAlignment="1">
      <alignment horizontal="left" vertical="center" wrapText="1"/>
    </xf>
    <xf numFmtId="43" fontId="24" fillId="0" borderId="30" xfId="24" applyNumberFormat="1" applyFont="1" applyBorder="1" applyAlignment="1">
      <alignment horizontal="left" vertical="center" wrapText="1"/>
    </xf>
    <xf numFmtId="43" fontId="24" fillId="0" borderId="31" xfId="24" applyNumberFormat="1" applyFont="1" applyBorder="1" applyAlignment="1">
      <alignment horizontal="left" vertical="center" wrapText="1"/>
    </xf>
    <xf numFmtId="43" fontId="24" fillId="0" borderId="11" xfId="24" applyNumberFormat="1" applyFont="1" applyFill="1" applyBorder="1" applyAlignment="1">
      <alignment horizontal="left" vertical="center" wrapText="1"/>
    </xf>
    <xf numFmtId="43" fontId="24" fillId="0" borderId="12" xfId="24" applyNumberFormat="1" applyFont="1" applyFill="1" applyBorder="1" applyAlignment="1">
      <alignment horizontal="left" vertical="center" wrapText="1"/>
    </xf>
    <xf numFmtId="0" fontId="2" fillId="7" borderId="24" xfId="22" applyFont="1" applyFill="1" applyBorder="1" applyAlignment="1">
      <alignment vertical="center"/>
    </xf>
    <xf numFmtId="0" fontId="26" fillId="0" borderId="17" xfId="22" applyFont="1" applyBorder="1" applyAlignment="1">
      <alignment horizontal="center" vertical="center" textRotation="90" wrapText="1"/>
    </xf>
    <xf numFmtId="0" fontId="26" fillId="0" borderId="10" xfId="22" applyFont="1" applyBorder="1" applyAlignment="1">
      <alignment horizontal="center" vertical="center" textRotation="90" wrapText="1"/>
    </xf>
    <xf numFmtId="0" fontId="26" fillId="0" borderId="22" xfId="22" applyFont="1" applyBorder="1" applyAlignment="1">
      <alignment horizontal="center" vertical="center" textRotation="90" wrapText="1"/>
    </xf>
    <xf numFmtId="0" fontId="24" fillId="0" borderId="11" xfId="22" applyFont="1" applyFill="1" applyBorder="1" applyAlignment="1">
      <alignment horizontal="left" vertical="center" wrapText="1"/>
    </xf>
    <xf numFmtId="0" fontId="24" fillId="0" borderId="12" xfId="22" applyFont="1" applyFill="1" applyBorder="1" applyAlignment="1">
      <alignment horizontal="left" vertical="center" wrapText="1"/>
    </xf>
    <xf numFmtId="0" fontId="3" fillId="0" borderId="1" xfId="22" applyFont="1" applyBorder="1" applyAlignment="1">
      <alignment horizontal="left" vertical="center"/>
    </xf>
    <xf numFmtId="0" fontId="25" fillId="0" borderId="4" xfId="22" applyFont="1" applyBorder="1" applyAlignment="1">
      <alignment horizontal="center" vertical="center"/>
    </xf>
    <xf numFmtId="0" fontId="25" fillId="0" borderId="5" xfId="22" applyFont="1" applyBorder="1" applyAlignment="1">
      <alignment horizontal="center" vertical="center"/>
    </xf>
    <xf numFmtId="0" fontId="25" fillId="0" borderId="6" xfId="22" applyFont="1" applyBorder="1" applyAlignment="1">
      <alignment horizontal="center" vertical="center"/>
    </xf>
    <xf numFmtId="0" fontId="26" fillId="0" borderId="17" xfId="22" applyFont="1" applyBorder="1" applyAlignment="1">
      <alignment horizontal="center" vertical="center" textRotation="90"/>
    </xf>
    <xf numFmtId="0" fontId="26" fillId="0" borderId="10" xfId="22" applyFont="1" applyBorder="1" applyAlignment="1">
      <alignment horizontal="center" vertical="center" textRotation="90"/>
    </xf>
    <xf numFmtId="0" fontId="26" fillId="0" borderId="22" xfId="22" applyFont="1" applyBorder="1" applyAlignment="1">
      <alignment horizontal="center" vertical="center" textRotation="90"/>
    </xf>
    <xf numFmtId="0" fontId="24" fillId="0" borderId="17" xfId="22" applyFont="1" applyBorder="1" applyAlignment="1">
      <alignment horizontal="center" vertical="center" wrapText="1"/>
    </xf>
    <xf numFmtId="0" fontId="24" fillId="0" borderId="10" xfId="22" applyFont="1" applyBorder="1" applyAlignment="1">
      <alignment horizontal="center" vertical="center" wrapText="1"/>
    </xf>
    <xf numFmtId="0" fontId="24" fillId="0" borderId="22" xfId="22" applyFont="1" applyBorder="1" applyAlignment="1">
      <alignment horizontal="center" vertical="center" wrapText="1"/>
    </xf>
    <xf numFmtId="1" fontId="0" fillId="0" borderId="0" xfId="0" applyNumberFormat="1"/>
    <xf numFmtId="9" fontId="0" fillId="0" borderId="0" xfId="0" applyNumberFormat="1"/>
  </cellXfs>
  <cellStyles count="27">
    <cellStyle name="AutoFormat-Optionen" xfId="18" xr:uid="{00000000-0005-0000-0000-000000000000}"/>
    <cellStyle name="Comma" xfId="1" builtinId="3"/>
    <cellStyle name="Comma [0]" xfId="2" builtinId="6"/>
    <cellStyle name="Comma [0] 2" xfId="12" xr:uid="{00000000-0005-0000-0000-000003000000}"/>
    <cellStyle name="Comma 10" xfId="17" xr:uid="{00000000-0005-0000-0000-000004000000}"/>
    <cellStyle name="Comma 10 2" xfId="25" xr:uid="{00000000-0005-0000-0000-000005000000}"/>
    <cellStyle name="Comma 2" xfId="4" xr:uid="{00000000-0005-0000-0000-000006000000}"/>
    <cellStyle name="Comma 2 2" xfId="13" xr:uid="{00000000-0005-0000-0000-000007000000}"/>
    <cellStyle name="Comma 2 3" xfId="24" xr:uid="{00000000-0005-0000-0000-000008000000}"/>
    <cellStyle name="Comma 3" xfId="19" xr:uid="{00000000-0005-0000-0000-000009000000}"/>
    <cellStyle name="Comma 4" xfId="5" xr:uid="{00000000-0005-0000-0000-00000A000000}"/>
    <cellStyle name="Comma 5" xfId="14" xr:uid="{00000000-0005-0000-0000-00000B000000}"/>
    <cellStyle name="Comma 7" xfId="20" xr:uid="{00000000-0005-0000-0000-00000C000000}"/>
    <cellStyle name="Excel Built-in Comma" xfId="15" xr:uid="{00000000-0005-0000-0000-00000D000000}"/>
    <cellStyle name="Excel Built-in Normal" xfId="11" xr:uid="{00000000-0005-0000-0000-00000E000000}"/>
    <cellStyle name="Excel Built-in Percent" xfId="16" xr:uid="{00000000-0005-0000-0000-00000F000000}"/>
    <cellStyle name="Normal" xfId="0" builtinId="0"/>
    <cellStyle name="Normal 12 2" xfId="21" xr:uid="{00000000-0005-0000-0000-000011000000}"/>
    <cellStyle name="Normal 2" xfId="22" xr:uid="{00000000-0005-0000-0000-000012000000}"/>
    <cellStyle name="Normal 3" xfId="26" xr:uid="{00000000-0005-0000-0000-000013000000}"/>
    <cellStyle name="Normal 4" xfId="7" xr:uid="{00000000-0005-0000-0000-000014000000}"/>
    <cellStyle name="Normal 5" xfId="9" xr:uid="{00000000-0005-0000-0000-000015000000}"/>
    <cellStyle name="Normal 8" xfId="23" xr:uid="{00000000-0005-0000-0000-000016000000}"/>
    <cellStyle name="Percent" xfId="3" builtinId="5"/>
    <cellStyle name="Percent 2" xfId="6" xr:uid="{00000000-0005-0000-0000-000018000000}"/>
    <cellStyle name="Percent 3" xfId="10" xr:uid="{00000000-0005-0000-0000-000019000000}"/>
    <cellStyle name="Percent 4" xfId="8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Pareto</a:t>
            </a:r>
            <a:r>
              <a:rPr lang="en-ID" baseline="0"/>
              <a:t> Problem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04F-4338-9BD6-69842CC5429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604F-4338-9BD6-69842CC5429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604F-4338-9BD6-69842CC54299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04F-4338-9BD6-69842CC54299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604F-4338-9BD6-69842CC542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Sheet1!$J$11:$J$15</c:f>
              <c:strCache>
                <c:ptCount val="5"/>
                <c:pt idx="0">
                  <c:v>EM Contribution</c:v>
                </c:pt>
                <c:pt idx="1">
                  <c:v>App Rate</c:v>
                </c:pt>
                <c:pt idx="2">
                  <c:v>Leadtime EM</c:v>
                </c:pt>
                <c:pt idx="3">
                  <c:v>TMO Share</c:v>
                </c:pt>
                <c:pt idx="4">
                  <c:v>Leadtime SBE</c:v>
                </c:pt>
              </c:strCache>
            </c:strRef>
          </c:cat>
          <c:val>
            <c:numRef>
              <c:f>Sheet1!$L$11:$L$15</c:f>
              <c:numCache>
                <c:formatCode>0%</c:formatCode>
                <c:ptCount val="5"/>
                <c:pt idx="0">
                  <c:v>5.8139534883720929E-3</c:v>
                </c:pt>
                <c:pt idx="1">
                  <c:v>0.20348837209302326</c:v>
                </c:pt>
                <c:pt idx="2">
                  <c:v>0.24127906976744184</c:v>
                </c:pt>
                <c:pt idx="3">
                  <c:v>0.27034883720930236</c:v>
                </c:pt>
                <c:pt idx="4">
                  <c:v>0.27906976744186046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F-4338-9BD6-69842CC54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186960"/>
        <c:axId val="472181712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Sheet1!$J$11:$J$15</c:f>
              <c:strCache>
                <c:ptCount val="5"/>
                <c:pt idx="0">
                  <c:v>EM Contribution</c:v>
                </c:pt>
                <c:pt idx="1">
                  <c:v>App Rate</c:v>
                </c:pt>
                <c:pt idx="2">
                  <c:v>Leadtime EM</c:v>
                </c:pt>
                <c:pt idx="3">
                  <c:v>TMO Share</c:v>
                </c:pt>
                <c:pt idx="4">
                  <c:v>Leadtime SBE</c:v>
                </c:pt>
              </c:strCache>
            </c:strRef>
          </c:cat>
          <c:val>
            <c:numRef>
              <c:f>Sheet1!$M$11:$M$15</c:f>
              <c:numCache>
                <c:formatCode>0%</c:formatCode>
                <c:ptCount val="5"/>
                <c:pt idx="0">
                  <c:v>0.01</c:v>
                </c:pt>
                <c:pt idx="1">
                  <c:v>0.21348837209302327</c:v>
                </c:pt>
                <c:pt idx="2">
                  <c:v>0.45476744186046514</c:v>
                </c:pt>
                <c:pt idx="3">
                  <c:v>0.7251162790697675</c:v>
                </c:pt>
                <c:pt idx="4">
                  <c:v>1.0041860465116279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4F-4338-9BD6-69842CC54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2257256"/>
        <c:axId val="468765160"/>
      </c:lineChart>
      <c:catAx>
        <c:axId val="47218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181712"/>
        <c:crosses val="autoZero"/>
        <c:auto val="1"/>
        <c:lblAlgn val="ctr"/>
        <c:lblOffset val="100"/>
        <c:noMultiLvlLbl val="0"/>
      </c:catAx>
      <c:valAx>
        <c:axId val="4721817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186960"/>
        <c:crosses val="autoZero"/>
        <c:crossBetween val="between"/>
        <c:majorUnit val="0.2"/>
      </c:valAx>
      <c:valAx>
        <c:axId val="46876516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257256"/>
        <c:crosses val="max"/>
        <c:crossBetween val="between"/>
      </c:valAx>
      <c:catAx>
        <c:axId val="4622572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87651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22</xdr:row>
      <xdr:rowOff>167640</xdr:rowOff>
    </xdr:from>
    <xdr:to>
      <xdr:col>21</xdr:col>
      <xdr:colOff>7620</xdr:colOff>
      <xdr:row>45</xdr:row>
      <xdr:rowOff>160020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520940" y="4373880"/>
          <a:ext cx="3352800" cy="3855720"/>
        </a:xfrm>
        <a:prstGeom prst="rect">
          <a:avLst/>
        </a:prstGeom>
        <a:noFill/>
        <a:ln w="31750">
          <a:solidFill>
            <a:srgbClr val="00B0F0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582706</xdr:colOff>
      <xdr:row>1</xdr:row>
      <xdr:rowOff>268942</xdr:rowOff>
    </xdr:from>
    <xdr:to>
      <xdr:col>20</xdr:col>
      <xdr:colOff>8634505</xdr:colOff>
      <xdr:row>5</xdr:row>
      <xdr:rowOff>85912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933765" y="605118"/>
          <a:ext cx="8051799" cy="6350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Perhitungan Unit  Entry menggunakan</a:t>
          </a:r>
          <a:r>
            <a:rPr lang="id-ID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WO Released</a:t>
          </a:r>
          <a:endParaRPr lang="id-ID" sz="1400" b="1">
            <a:effectLst/>
          </a:endParaRPr>
        </a:p>
        <a:p>
          <a:pPr algn="ctr"/>
          <a:r>
            <a:rPr lang="id-ID" sz="1400" b="1"/>
            <a:t>Perhitungan CPUS menggunakan</a:t>
          </a:r>
          <a:r>
            <a:rPr lang="id-ID" sz="1400" b="1" baseline="0"/>
            <a:t> data WO Billing</a:t>
          </a:r>
          <a:endParaRPr lang="id-ID" sz="1400" b="1"/>
        </a:p>
      </xdr:txBody>
    </xdr:sp>
    <xdr:clientData/>
  </xdr:twoCellAnchor>
  <xdr:twoCellAnchor editAs="oneCell">
    <xdr:from>
      <xdr:col>20</xdr:col>
      <xdr:colOff>5670176</xdr:colOff>
      <xdr:row>30</xdr:row>
      <xdr:rowOff>145676</xdr:rowOff>
    </xdr:from>
    <xdr:to>
      <xdr:col>20</xdr:col>
      <xdr:colOff>8346701</xdr:colOff>
      <xdr:row>40</xdr:row>
      <xdr:rowOff>24653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8970" y="5322794"/>
          <a:ext cx="2676525" cy="1447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67235</xdr:colOff>
      <xdr:row>177</xdr:row>
      <xdr:rowOff>56029</xdr:rowOff>
    </xdr:from>
    <xdr:to>
      <xdr:col>4</xdr:col>
      <xdr:colOff>1333500</xdr:colOff>
      <xdr:row>180</xdr:row>
      <xdr:rowOff>131482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37882" y="26838088"/>
          <a:ext cx="2330824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New:</a:t>
          </a:r>
        </a:p>
        <a:p>
          <a:r>
            <a:rPr lang="en-US" sz="1100" b="0" baseline="0"/>
            <a:t>Nomor 1</a:t>
          </a:r>
          <a:r>
            <a:rPr lang="id-ID" sz="1100" b="0" baseline="0"/>
            <a:t>17,118, 1</a:t>
          </a:r>
          <a:r>
            <a:rPr lang="en-US" sz="1100" b="0" baseline="0"/>
            <a:t>36</a:t>
          </a:r>
          <a:r>
            <a:rPr lang="id-ID" sz="1100" b="0" baseline="0"/>
            <a:t> dan 1</a:t>
          </a:r>
          <a:r>
            <a:rPr lang="en-US" sz="1100" b="0" baseline="0"/>
            <a:t>37</a:t>
          </a:r>
          <a:endParaRPr lang="en-US" sz="1100" b="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67235</xdr:colOff>
      <xdr:row>180</xdr:row>
      <xdr:rowOff>56029</xdr:rowOff>
    </xdr:from>
    <xdr:to>
      <xdr:col>4</xdr:col>
      <xdr:colOff>1333500</xdr:colOff>
      <xdr:row>183</xdr:row>
      <xdr:rowOff>131482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33960" y="29945479"/>
          <a:ext cx="2323540" cy="5612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New:</a:t>
          </a:r>
        </a:p>
        <a:p>
          <a:r>
            <a:rPr lang="en-US" sz="1100" b="0" baseline="0"/>
            <a:t>Nomor 1</a:t>
          </a:r>
          <a:r>
            <a:rPr lang="id-ID" sz="1100" b="0" baseline="0"/>
            <a:t>17,118, 1</a:t>
          </a:r>
          <a:r>
            <a:rPr lang="en-US" sz="1100" b="0" baseline="0"/>
            <a:t>36</a:t>
          </a:r>
          <a:r>
            <a:rPr lang="id-ID" sz="1100" b="0" baseline="0"/>
            <a:t> dan 1</a:t>
          </a:r>
          <a:r>
            <a:rPr lang="en-US" sz="1100" b="0" baseline="0"/>
            <a:t>37</a:t>
          </a:r>
          <a:endParaRPr lang="en-US" sz="1100" b="0"/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195262</xdr:colOff>
      <xdr:row>4</xdr:row>
      <xdr:rowOff>33337</xdr:rowOff>
    </xdr:from>
    <xdr:to>
      <xdr:col>12</xdr:col>
      <xdr:colOff>71437</xdr:colOff>
      <xdr:row>18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6D139F-2C16-4B93-848A-40795A4516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152400</xdr:colOff>
      <xdr:row>3</xdr:row>
      <xdr:rowOff>25400</xdr:rowOff>
    </xdr:from>
    <xdr:to>
      <xdr:col>30</xdr:col>
      <xdr:colOff>507999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01150" y="1025525"/>
          <a:ext cx="15195549" cy="6413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Perhitungan Unit  Entry menggunakan</a:t>
          </a:r>
          <a:r>
            <a:rPr lang="id-ID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WO Released</a:t>
          </a:r>
          <a:endParaRPr lang="id-ID" sz="1400" b="1">
            <a:effectLst/>
          </a:endParaRPr>
        </a:p>
        <a:p>
          <a:pPr algn="ctr"/>
          <a:r>
            <a:rPr lang="id-ID" sz="1400" b="1"/>
            <a:t>Perhitungan CPUS menggunakan</a:t>
          </a:r>
          <a:r>
            <a:rPr lang="id-ID" sz="1400" b="1" baseline="0"/>
            <a:t> data WO Billing</a:t>
          </a:r>
          <a:endParaRPr lang="id-ID" sz="1400" b="1"/>
        </a:p>
      </xdr:txBody>
    </xdr:sp>
    <xdr:clientData/>
  </xdr:twoCellAnchor>
  <xdr:twoCellAnchor>
    <xdr:from>
      <xdr:col>11</xdr:col>
      <xdr:colOff>152400</xdr:colOff>
      <xdr:row>3</xdr:row>
      <xdr:rowOff>25400</xdr:rowOff>
    </xdr:from>
    <xdr:to>
      <xdr:col>30</xdr:col>
      <xdr:colOff>507999</xdr:colOff>
      <xdr:row>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9201150" y="1025525"/>
          <a:ext cx="15195549" cy="6413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id-ID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Perhitungan Unit  Entry menggunakan</a:t>
          </a:r>
          <a:r>
            <a:rPr lang="id-ID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data WO Released</a:t>
          </a:r>
          <a:endParaRPr lang="id-ID" sz="1400" b="1">
            <a:effectLst/>
          </a:endParaRPr>
        </a:p>
        <a:p>
          <a:pPr algn="ctr"/>
          <a:r>
            <a:rPr lang="id-ID" sz="1400" b="1"/>
            <a:t>Perhitungan CPUS menggunakan</a:t>
          </a:r>
          <a:r>
            <a:rPr lang="id-ID" sz="1400" b="1" baseline="0"/>
            <a:t> data WO Billing</a:t>
          </a:r>
          <a:endParaRPr lang="id-ID" sz="14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rnawati\AppData\Local\Microsoft\Windows\Temporary%20Internet%20Files\Content.Outlook\CKECA5XF\ETL%20-%20GR%20-%20AUTO%202000%20DKI%20II%20-%20tebet%20saharj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BANK"/>
      <sheetName val="PLEASE FILL THIS FORM"/>
      <sheetName val="tebet saharjo"/>
      <sheetName val="Akastra"/>
      <sheetName val="Anzon Tambun"/>
      <sheetName val="Plaza Tendean"/>
      <sheetName val="Plaza Green Garden"/>
      <sheetName val="Plaza Kyai Tapa"/>
      <sheetName val="Plaza Pemuda"/>
      <sheetName val="Plaza Gading Serpong"/>
      <sheetName val="Daya Toyota"/>
      <sheetName val="Akastra BP"/>
      <sheetName val="Asri Jenggolo"/>
      <sheetName val="Liek Indrapura"/>
      <sheetName val="Krida Mataram"/>
      <sheetName val="Liek Mojokerto"/>
      <sheetName val="Kartika Malang"/>
      <sheetName val="Auto Nusa Kupang"/>
      <sheetName val="Arina Gresik"/>
      <sheetName val="Liek Pamekasan"/>
      <sheetName val="Asri Taman"/>
      <sheetName val="Arina BP"/>
      <sheetName val="Krida BP"/>
      <sheetName val="Tunas Toyota Bandar Jaya Lampun"/>
      <sheetName val="AUTO 2000 SM Raja"/>
      <sheetName val="bontang"/>
      <sheetName val="Sheet2"/>
      <sheetName val="Sheet3"/>
      <sheetName val="TAM Sunter"/>
      <sheetName val="PLEASE_FILL_THIS_FORM"/>
      <sheetName val="NCS &amp; SBI"/>
    </sheetNames>
    <sheetDataSet>
      <sheetData sheetId="0">
        <row r="2">
          <cell r="B2" t="str">
            <v>GENERAL REPAIR</v>
          </cell>
        </row>
      </sheetData>
      <sheetData sheetId="1">
        <row r="2">
          <cell r="B2" t="str">
            <v>KPI LAPORAN BULANAN BENGKEL</v>
          </cell>
        </row>
        <row r="3">
          <cell r="C3" t="str">
            <v>GENERAL REPAIR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C3">
            <v>0</v>
          </cell>
        </row>
      </sheetData>
      <sheetData sheetId="26"/>
      <sheetData sheetId="27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77"/>
  <sheetViews>
    <sheetView view="pageBreakPreview" topLeftCell="A151" zoomScale="90" zoomScaleNormal="85" zoomScaleSheetLayoutView="90" workbookViewId="0">
      <selection activeCell="F170" sqref="F170"/>
    </sheetView>
  </sheetViews>
  <sheetFormatPr defaultColWidth="9.140625" defaultRowHeight="12.75"/>
  <cols>
    <col min="1" max="1" width="1.28515625" style="102" customWidth="1"/>
    <col min="2" max="2" width="5.7109375" style="182" customWidth="1"/>
    <col min="3" max="3" width="6.140625" style="37" customWidth="1"/>
    <col min="4" max="4" width="9.7109375" style="102" customWidth="1"/>
    <col min="5" max="5" width="30.7109375" style="102" customWidth="1"/>
    <col min="6" max="6" width="39.85546875" style="102" customWidth="1"/>
    <col min="7" max="7" width="5.7109375" style="3" customWidth="1"/>
    <col min="8" max="8" width="14.7109375" style="7" bestFit="1" customWidth="1"/>
    <col min="9" max="11" width="10.85546875" style="165" hidden="1" customWidth="1"/>
    <col min="12" max="13" width="10.85546875" style="6" hidden="1" customWidth="1"/>
    <col min="14" max="14" width="10.85546875" style="7" hidden="1" customWidth="1"/>
    <col min="15" max="15" width="10.85546875" style="6" hidden="1" customWidth="1"/>
    <col min="16" max="16" width="10.85546875" style="7" hidden="1" customWidth="1"/>
    <col min="17" max="17" width="10.85546875" style="6" hidden="1" customWidth="1"/>
    <col min="18" max="20" width="10.85546875" style="165" hidden="1" customWidth="1"/>
    <col min="21" max="21" width="130.7109375" style="2" customWidth="1"/>
    <col min="22" max="16384" width="9.140625" style="2"/>
  </cols>
  <sheetData>
    <row r="1" spans="1:21" ht="26.25">
      <c r="B1" s="276" t="str">
        <f>'[1]PLEASE FILL THIS FORM'!B2</f>
        <v>KPI LAPORAN BULANAN BENGKEL</v>
      </c>
      <c r="H1" s="5"/>
      <c r="I1" s="5"/>
      <c r="J1" s="5"/>
      <c r="K1" s="5"/>
      <c r="P1" s="5"/>
      <c r="Q1" s="8"/>
      <c r="R1" s="5"/>
      <c r="S1" s="5"/>
      <c r="T1" s="5"/>
    </row>
    <row r="2" spans="1:21" ht="26.25">
      <c r="B2" s="276" t="str">
        <f>'[1]PLEASE FILL THIS FORM'!C3</f>
        <v>GENERAL REPAIR</v>
      </c>
      <c r="H2" s="5"/>
      <c r="I2" s="5"/>
      <c r="J2" s="5"/>
      <c r="K2" s="5"/>
      <c r="P2" s="5"/>
      <c r="Q2" s="8"/>
      <c r="R2" s="5"/>
      <c r="S2" s="5"/>
      <c r="T2" s="5"/>
      <c r="U2" s="243"/>
    </row>
    <row r="3" spans="1:21">
      <c r="B3" s="100" t="s">
        <v>0</v>
      </c>
      <c r="C3" s="100"/>
      <c r="D3" s="31"/>
      <c r="E3" s="613"/>
      <c r="F3" s="613"/>
      <c r="H3" s="5"/>
      <c r="I3" s="5"/>
      <c r="J3" s="5"/>
      <c r="K3" s="5"/>
      <c r="P3" s="5"/>
      <c r="Q3" s="8"/>
      <c r="R3" s="5"/>
      <c r="S3" s="5"/>
      <c r="T3" s="5"/>
      <c r="U3" s="295"/>
    </row>
    <row r="4" spans="1:21">
      <c r="B4" s="100" t="s">
        <v>1</v>
      </c>
      <c r="C4" s="100"/>
      <c r="D4" s="31"/>
      <c r="E4" s="613"/>
      <c r="F4" s="613"/>
      <c r="H4" s="9"/>
      <c r="I4" s="9"/>
      <c r="J4" s="9"/>
      <c r="K4" s="9"/>
      <c r="L4" s="10"/>
      <c r="M4" s="10"/>
      <c r="N4" s="11"/>
      <c r="O4" s="10"/>
      <c r="P4" s="9"/>
      <c r="Q4" s="12"/>
      <c r="R4" s="9"/>
      <c r="S4" s="9"/>
      <c r="T4" s="9"/>
      <c r="U4" s="295"/>
    </row>
    <row r="5" spans="1:21" ht="13.5" thickBot="1">
      <c r="B5" s="37"/>
      <c r="H5" s="9"/>
      <c r="I5" s="9"/>
      <c r="J5" s="9"/>
      <c r="K5" s="9"/>
      <c r="L5" s="10"/>
      <c r="M5" s="10"/>
      <c r="N5" s="11"/>
      <c r="O5" s="10"/>
      <c r="P5" s="9"/>
      <c r="Q5" s="12"/>
      <c r="R5" s="9"/>
      <c r="S5" s="9"/>
      <c r="T5" s="9"/>
    </row>
    <row r="6" spans="1:21" s="4" customFormat="1" ht="14.25" thickTop="1" thickBot="1">
      <c r="A6" s="182"/>
      <c r="B6" s="206" t="s">
        <v>2</v>
      </c>
      <c r="C6" s="614" t="s">
        <v>3</v>
      </c>
      <c r="D6" s="615"/>
      <c r="E6" s="615"/>
      <c r="F6" s="616"/>
      <c r="G6" s="206"/>
      <c r="H6" s="224" t="s">
        <v>137</v>
      </c>
      <c r="I6" s="14" t="s">
        <v>4</v>
      </c>
      <c r="J6" s="14" t="s">
        <v>5</v>
      </c>
      <c r="K6" s="14" t="s">
        <v>6</v>
      </c>
      <c r="L6" s="14" t="s">
        <v>7</v>
      </c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166" t="s">
        <v>15</v>
      </c>
      <c r="U6" s="296"/>
    </row>
    <row r="7" spans="1:21" ht="13.5" thickTop="1">
      <c r="B7" s="277">
        <v>1</v>
      </c>
      <c r="C7" s="33" t="s">
        <v>16</v>
      </c>
      <c r="D7" s="94"/>
      <c r="E7" s="94"/>
      <c r="F7" s="94"/>
      <c r="G7" s="13"/>
      <c r="H7" s="15"/>
      <c r="I7" s="15"/>
      <c r="J7" s="15"/>
      <c r="K7" s="15"/>
      <c r="L7" s="16"/>
      <c r="M7" s="16"/>
      <c r="N7" s="15"/>
      <c r="O7" s="16"/>
      <c r="P7" s="15"/>
      <c r="Q7" s="16"/>
      <c r="R7" s="15"/>
      <c r="S7" s="15"/>
      <c r="T7" s="17"/>
    </row>
    <row r="8" spans="1:21" s="37" customFormat="1">
      <c r="B8" s="278"/>
      <c r="C8" s="33"/>
      <c r="D8" s="602" t="s">
        <v>96</v>
      </c>
      <c r="E8" s="603"/>
      <c r="F8" s="604"/>
      <c r="G8" s="49"/>
      <c r="H8" s="177"/>
      <c r="I8" s="177"/>
      <c r="J8" s="177"/>
      <c r="K8" s="177"/>
      <c r="L8" s="178"/>
      <c r="M8" s="179"/>
      <c r="N8" s="178"/>
      <c r="O8" s="179"/>
      <c r="P8" s="176"/>
      <c r="Q8" s="176"/>
      <c r="R8" s="176"/>
      <c r="S8" s="176"/>
      <c r="T8" s="244"/>
      <c r="U8" s="100"/>
    </row>
    <row r="9" spans="1:21" s="37" customFormat="1" ht="16.149999999999999" customHeight="1">
      <c r="B9" s="278"/>
      <c r="C9" s="33"/>
      <c r="D9" s="272"/>
      <c r="E9" s="50" t="s">
        <v>114</v>
      </c>
      <c r="F9" s="48"/>
      <c r="G9" s="51">
        <v>1</v>
      </c>
      <c r="H9" s="23">
        <v>150</v>
      </c>
      <c r="I9" s="23"/>
      <c r="J9" s="23"/>
      <c r="K9" s="23"/>
      <c r="L9" s="52"/>
      <c r="M9" s="53"/>
      <c r="N9" s="54"/>
      <c r="O9" s="55"/>
      <c r="P9" s="56"/>
      <c r="Q9" s="56"/>
      <c r="R9" s="56"/>
      <c r="S9" s="56"/>
      <c r="T9" s="43"/>
      <c r="U9" s="618" t="s">
        <v>227</v>
      </c>
    </row>
    <row r="10" spans="1:21" s="37" customFormat="1">
      <c r="B10" s="278"/>
      <c r="C10" s="33"/>
      <c r="D10" s="272"/>
      <c r="E10" s="50" t="s">
        <v>115</v>
      </c>
      <c r="F10" s="48"/>
      <c r="G10" s="51">
        <v>2</v>
      </c>
      <c r="H10" s="23">
        <v>160</v>
      </c>
      <c r="I10" s="23"/>
      <c r="J10" s="23"/>
      <c r="K10" s="23"/>
      <c r="L10" s="52"/>
      <c r="M10" s="53"/>
      <c r="N10" s="54"/>
      <c r="O10" s="55"/>
      <c r="P10" s="56"/>
      <c r="Q10" s="56"/>
      <c r="R10" s="56"/>
      <c r="S10" s="56"/>
      <c r="T10" s="43"/>
      <c r="U10" s="618"/>
    </row>
    <row r="11" spans="1:21" s="37" customFormat="1">
      <c r="B11" s="278"/>
      <c r="C11" s="33"/>
      <c r="D11" s="602" t="s">
        <v>97</v>
      </c>
      <c r="E11" s="603"/>
      <c r="F11" s="604"/>
      <c r="G11" s="51"/>
      <c r="H11" s="23"/>
      <c r="I11" s="23"/>
      <c r="J11" s="23"/>
      <c r="K11" s="23"/>
      <c r="L11" s="52"/>
      <c r="M11" s="53"/>
      <c r="N11" s="54"/>
      <c r="O11" s="55"/>
      <c r="P11" s="56"/>
      <c r="Q11" s="56"/>
      <c r="R11" s="56"/>
      <c r="S11" s="56"/>
      <c r="T11" s="43"/>
      <c r="U11" s="100"/>
    </row>
    <row r="12" spans="1:21" s="37" customFormat="1">
      <c r="B12" s="278"/>
      <c r="C12" s="33"/>
      <c r="D12" s="272"/>
      <c r="E12" s="50" t="s">
        <v>116</v>
      </c>
      <c r="F12" s="48"/>
      <c r="G12" s="51">
        <v>3</v>
      </c>
      <c r="H12" s="23">
        <v>165</v>
      </c>
      <c r="I12" s="23"/>
      <c r="J12" s="23"/>
      <c r="K12" s="23"/>
      <c r="L12" s="52"/>
      <c r="M12" s="53"/>
      <c r="N12" s="54"/>
      <c r="O12" s="55"/>
      <c r="P12" s="56"/>
      <c r="Q12" s="56"/>
      <c r="R12" s="56"/>
      <c r="S12" s="56"/>
      <c r="T12" s="43"/>
      <c r="U12" s="618" t="s">
        <v>228</v>
      </c>
    </row>
    <row r="13" spans="1:21" s="37" customFormat="1">
      <c r="B13" s="278"/>
      <c r="C13" s="33"/>
      <c r="D13" s="272"/>
      <c r="E13" s="50" t="s">
        <v>117</v>
      </c>
      <c r="F13" s="48"/>
      <c r="G13" s="51">
        <v>4</v>
      </c>
      <c r="H13" s="23">
        <v>170</v>
      </c>
      <c r="I13" s="23"/>
      <c r="J13" s="23"/>
      <c r="K13" s="23"/>
      <c r="L13" s="52"/>
      <c r="M13" s="53"/>
      <c r="N13" s="54"/>
      <c r="O13" s="55"/>
      <c r="P13" s="56"/>
      <c r="Q13" s="56"/>
      <c r="R13" s="56"/>
      <c r="S13" s="56"/>
      <c r="T13" s="43"/>
      <c r="U13" s="618"/>
    </row>
    <row r="14" spans="1:21" s="37" customFormat="1">
      <c r="B14" s="278"/>
      <c r="C14" s="33"/>
      <c r="D14" s="57" t="s">
        <v>98</v>
      </c>
      <c r="E14" s="50"/>
      <c r="F14" s="48"/>
      <c r="G14" s="51"/>
      <c r="H14" s="172"/>
      <c r="I14" s="172"/>
      <c r="J14" s="172"/>
      <c r="K14" s="172"/>
      <c r="L14" s="173"/>
      <c r="M14" s="174"/>
      <c r="N14" s="173"/>
      <c r="O14" s="175"/>
      <c r="P14" s="176"/>
      <c r="Q14" s="176"/>
      <c r="R14" s="176"/>
      <c r="S14" s="176"/>
      <c r="T14" s="244"/>
      <c r="U14" s="100"/>
    </row>
    <row r="15" spans="1:21" s="37" customFormat="1">
      <c r="B15" s="278"/>
      <c r="C15" s="33"/>
      <c r="D15" s="57"/>
      <c r="E15" s="50" t="s">
        <v>28</v>
      </c>
      <c r="F15" s="48"/>
      <c r="G15" s="51">
        <v>5</v>
      </c>
      <c r="H15" s="23">
        <v>100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5"/>
      <c r="U15" s="618" t="s">
        <v>138</v>
      </c>
    </row>
    <row r="16" spans="1:21" s="37" customFormat="1">
      <c r="B16" s="279"/>
      <c r="C16" s="167"/>
      <c r="D16" s="57"/>
      <c r="E16" s="50" t="s">
        <v>29</v>
      </c>
      <c r="F16" s="48"/>
      <c r="G16" s="51">
        <v>6</v>
      </c>
      <c r="H16" s="23">
        <v>101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45"/>
      <c r="U16" s="618"/>
    </row>
    <row r="17" spans="1:23" s="47" customFormat="1">
      <c r="A17" s="37"/>
      <c r="B17" s="279"/>
      <c r="C17" s="230"/>
      <c r="D17" s="57" t="s">
        <v>99</v>
      </c>
      <c r="E17" s="275"/>
      <c r="F17" s="38"/>
      <c r="G17" s="4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246"/>
      <c r="U17" s="100"/>
    </row>
    <row r="18" spans="1:23" s="47" customFormat="1" ht="13.15" customHeight="1">
      <c r="A18" s="37"/>
      <c r="B18" s="279"/>
      <c r="C18" s="230"/>
      <c r="D18" s="272"/>
      <c r="E18" s="50" t="s">
        <v>30</v>
      </c>
      <c r="F18" s="38"/>
      <c r="G18" s="51">
        <v>7</v>
      </c>
      <c r="H18" s="59">
        <v>251</v>
      </c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246"/>
      <c r="U18" s="297" t="s">
        <v>189</v>
      </c>
    </row>
    <row r="19" spans="1:23" s="37" customFormat="1" ht="13.15" customHeight="1">
      <c r="B19" s="278"/>
      <c r="C19" s="33"/>
      <c r="D19" s="602" t="s">
        <v>100</v>
      </c>
      <c r="E19" s="617"/>
      <c r="F19" s="48"/>
      <c r="G19" s="49"/>
      <c r="H19" s="177"/>
      <c r="I19" s="177"/>
      <c r="J19" s="177"/>
      <c r="K19" s="177"/>
      <c r="L19" s="178"/>
      <c r="M19" s="179"/>
      <c r="N19" s="178"/>
      <c r="O19" s="179"/>
      <c r="P19" s="176"/>
      <c r="Q19" s="176"/>
      <c r="R19" s="176"/>
      <c r="S19" s="176"/>
      <c r="T19" s="244"/>
      <c r="U19" s="297"/>
    </row>
    <row r="20" spans="1:23" s="37" customFormat="1">
      <c r="B20" s="278"/>
      <c r="C20" s="33"/>
      <c r="D20" s="272"/>
      <c r="E20" s="50" t="s">
        <v>85</v>
      </c>
      <c r="F20" s="48"/>
      <c r="G20" s="51">
        <v>8</v>
      </c>
      <c r="H20" s="23">
        <v>500</v>
      </c>
      <c r="I20" s="23"/>
      <c r="J20" s="23"/>
      <c r="K20" s="23"/>
      <c r="L20" s="52"/>
      <c r="M20" s="53"/>
      <c r="N20" s="54"/>
      <c r="O20" s="55"/>
      <c r="P20" s="56"/>
      <c r="Q20" s="56"/>
      <c r="R20" s="56"/>
      <c r="S20" s="56"/>
      <c r="T20" s="43"/>
      <c r="U20" s="298" t="s">
        <v>229</v>
      </c>
    </row>
    <row r="21" spans="1:23" s="37" customFormat="1">
      <c r="B21" s="278"/>
      <c r="C21" s="33"/>
      <c r="D21" s="168"/>
      <c r="E21" s="148" t="s">
        <v>86</v>
      </c>
      <c r="F21" s="48"/>
      <c r="G21" s="51">
        <v>9</v>
      </c>
      <c r="H21" s="23">
        <v>100</v>
      </c>
      <c r="I21" s="23"/>
      <c r="J21" s="23"/>
      <c r="K21" s="23"/>
      <c r="L21" s="52"/>
      <c r="M21" s="53"/>
      <c r="N21" s="54"/>
      <c r="O21" s="55"/>
      <c r="P21" s="56"/>
      <c r="Q21" s="56"/>
      <c r="R21" s="56"/>
      <c r="S21" s="56"/>
      <c r="T21" s="43"/>
      <c r="U21" s="298" t="s">
        <v>230</v>
      </c>
    </row>
    <row r="22" spans="1:23" s="37" customFormat="1" ht="13.5" thickBot="1">
      <c r="B22" s="278"/>
      <c r="C22" s="60"/>
      <c r="D22" s="169" t="s">
        <v>118</v>
      </c>
      <c r="E22" s="280"/>
      <c r="F22" s="281"/>
      <c r="G22" s="190">
        <v>10</v>
      </c>
      <c r="H22" s="282">
        <f>SUM(H20:H21)</f>
        <v>600</v>
      </c>
      <c r="I22" s="61">
        <f>SUM(I20:I21)</f>
        <v>0</v>
      </c>
      <c r="J22" s="61">
        <f>SUM(J20:J21)</f>
        <v>0</v>
      </c>
      <c r="K22" s="61">
        <f t="shared" ref="K22:T22" si="0">SUM(K20:K21)</f>
        <v>0</v>
      </c>
      <c r="L22" s="61">
        <f t="shared" si="0"/>
        <v>0</v>
      </c>
      <c r="M22" s="61">
        <f t="shared" si="0"/>
        <v>0</v>
      </c>
      <c r="N22" s="61">
        <f t="shared" si="0"/>
        <v>0</v>
      </c>
      <c r="O22" s="61">
        <f t="shared" si="0"/>
        <v>0</v>
      </c>
      <c r="P22" s="61">
        <f t="shared" si="0"/>
        <v>0</v>
      </c>
      <c r="Q22" s="61">
        <f t="shared" si="0"/>
        <v>0</v>
      </c>
      <c r="R22" s="61">
        <f t="shared" si="0"/>
        <v>0</v>
      </c>
      <c r="S22" s="61">
        <f t="shared" si="0"/>
        <v>0</v>
      </c>
      <c r="T22" s="247">
        <f t="shared" si="0"/>
        <v>0</v>
      </c>
      <c r="U22" s="100" t="s">
        <v>139</v>
      </c>
    </row>
    <row r="23" spans="1:23" ht="13.5" thickTop="1">
      <c r="B23" s="278"/>
      <c r="C23" s="33"/>
      <c r="D23" s="100" t="s">
        <v>101</v>
      </c>
      <c r="E23" s="86"/>
      <c r="F23" s="75"/>
      <c r="G23" s="274"/>
      <c r="H23" s="180"/>
      <c r="I23" s="180"/>
      <c r="J23" s="180"/>
      <c r="K23" s="180"/>
      <c r="L23" s="180"/>
      <c r="M23" s="180"/>
      <c r="N23" s="181"/>
      <c r="O23" s="180"/>
      <c r="P23" s="180"/>
      <c r="Q23" s="180"/>
      <c r="R23" s="180"/>
      <c r="S23" s="180"/>
      <c r="T23" s="248"/>
      <c r="U23" s="303"/>
      <c r="V23" s="102"/>
      <c r="W23" s="102"/>
    </row>
    <row r="24" spans="1:23" ht="13.15" customHeight="1">
      <c r="B24" s="278"/>
      <c r="C24" s="33"/>
      <c r="D24" s="619" t="s">
        <v>17</v>
      </c>
      <c r="E24" s="622" t="s">
        <v>18</v>
      </c>
      <c r="F24" s="18" t="s">
        <v>252</v>
      </c>
      <c r="G24" s="274">
        <v>11</v>
      </c>
      <c r="H24" s="20">
        <v>200</v>
      </c>
      <c r="I24" s="20"/>
      <c r="J24" s="20"/>
      <c r="K24" s="20"/>
      <c r="L24" s="21"/>
      <c r="M24" s="22"/>
      <c r="N24" s="23"/>
      <c r="O24" s="24"/>
      <c r="P24" s="25"/>
      <c r="Q24" s="25"/>
      <c r="R24" s="24"/>
      <c r="S24" s="24"/>
      <c r="T24" s="22"/>
      <c r="U24" s="306"/>
    </row>
    <row r="25" spans="1:23" ht="13.15" customHeight="1">
      <c r="B25" s="278"/>
      <c r="C25" s="33"/>
      <c r="D25" s="620"/>
      <c r="E25" s="623"/>
      <c r="F25" s="18" t="s">
        <v>253</v>
      </c>
      <c r="G25" s="274">
        <v>12</v>
      </c>
      <c r="H25" s="26">
        <v>100</v>
      </c>
      <c r="I25" s="26"/>
      <c r="J25" s="26"/>
      <c r="K25" s="26"/>
      <c r="L25" s="21"/>
      <c r="M25" s="22"/>
      <c r="N25" s="23"/>
      <c r="O25" s="24"/>
      <c r="P25" s="25"/>
      <c r="Q25" s="25"/>
      <c r="R25" s="24"/>
      <c r="S25" s="24"/>
      <c r="T25" s="22"/>
      <c r="U25" s="306"/>
    </row>
    <row r="26" spans="1:23">
      <c r="B26" s="278"/>
      <c r="C26" s="33"/>
      <c r="D26" s="620"/>
      <c r="E26" s="623"/>
      <c r="F26" s="18" t="s">
        <v>254</v>
      </c>
      <c r="G26" s="274">
        <f>+G25+1</f>
        <v>13</v>
      </c>
      <c r="H26" s="26">
        <v>50</v>
      </c>
      <c r="I26" s="26"/>
      <c r="J26" s="26"/>
      <c r="K26" s="26"/>
      <c r="L26" s="21"/>
      <c r="M26" s="22"/>
      <c r="N26" s="23"/>
      <c r="O26" s="24"/>
      <c r="P26" s="25"/>
      <c r="Q26" s="25"/>
      <c r="R26" s="24"/>
      <c r="S26" s="24"/>
      <c r="T26" s="22"/>
      <c r="U26" s="306"/>
    </row>
    <row r="27" spans="1:23" ht="13.15" customHeight="1">
      <c r="B27" s="278"/>
      <c r="C27" s="33"/>
      <c r="D27" s="620"/>
      <c r="E27" s="623"/>
      <c r="F27" s="18" t="s">
        <v>255</v>
      </c>
      <c r="G27" s="274">
        <v>14</v>
      </c>
      <c r="H27" s="26">
        <v>40</v>
      </c>
      <c r="I27" s="26"/>
      <c r="J27" s="26"/>
      <c r="K27" s="26"/>
      <c r="L27" s="21"/>
      <c r="M27" s="22"/>
      <c r="N27" s="23"/>
      <c r="O27" s="24"/>
      <c r="P27" s="25"/>
      <c r="Q27" s="25"/>
      <c r="R27" s="24"/>
      <c r="S27" s="24"/>
      <c r="T27" s="22"/>
      <c r="U27" s="305"/>
    </row>
    <row r="28" spans="1:23" ht="13.15" customHeight="1">
      <c r="B28" s="278"/>
      <c r="C28" s="33"/>
      <c r="D28" s="620"/>
      <c r="E28" s="623"/>
      <c r="F28" s="18" t="s">
        <v>256</v>
      </c>
      <c r="G28" s="274">
        <v>15</v>
      </c>
      <c r="H28" s="26">
        <v>30</v>
      </c>
      <c r="I28" s="26"/>
      <c r="J28" s="26"/>
      <c r="K28" s="26"/>
      <c r="L28" s="21"/>
      <c r="M28" s="22"/>
      <c r="N28" s="23"/>
      <c r="O28" s="24"/>
      <c r="P28" s="25"/>
      <c r="Q28" s="25"/>
      <c r="R28" s="24"/>
      <c r="S28" s="24"/>
      <c r="T28" s="22"/>
      <c r="U28" s="308" t="s">
        <v>232</v>
      </c>
    </row>
    <row r="29" spans="1:23" ht="13.15" customHeight="1">
      <c r="B29" s="278"/>
      <c r="C29" s="33"/>
      <c r="D29" s="620"/>
      <c r="E29" s="623"/>
      <c r="F29" s="18" t="s">
        <v>257</v>
      </c>
      <c r="G29" s="274">
        <v>16</v>
      </c>
      <c r="H29" s="26">
        <v>10</v>
      </c>
      <c r="I29" s="26"/>
      <c r="J29" s="26"/>
      <c r="K29" s="26"/>
      <c r="L29" s="21"/>
      <c r="M29" s="22"/>
      <c r="N29" s="23"/>
      <c r="O29" s="24"/>
      <c r="P29" s="25"/>
      <c r="Q29" s="25"/>
      <c r="R29" s="24"/>
      <c r="S29" s="24"/>
      <c r="T29" s="22"/>
      <c r="U29" s="308" t="s">
        <v>233</v>
      </c>
    </row>
    <row r="30" spans="1:23" ht="13.15" customHeight="1">
      <c r="B30" s="278"/>
      <c r="C30" s="33"/>
      <c r="D30" s="620"/>
      <c r="E30" s="623"/>
      <c r="F30" s="18" t="s">
        <v>258</v>
      </c>
      <c r="G30" s="274">
        <v>17</v>
      </c>
      <c r="H30" s="26">
        <v>10</v>
      </c>
      <c r="I30" s="26"/>
      <c r="J30" s="26"/>
      <c r="K30" s="26"/>
      <c r="L30" s="21"/>
      <c r="M30" s="22"/>
      <c r="N30" s="23"/>
      <c r="O30" s="24"/>
      <c r="P30" s="25"/>
      <c r="Q30" s="25"/>
      <c r="R30" s="24"/>
      <c r="S30" s="24"/>
      <c r="T30" s="22"/>
      <c r="U30" s="102" t="s">
        <v>249</v>
      </c>
    </row>
    <row r="31" spans="1:23" ht="13.15" customHeight="1">
      <c r="B31" s="278"/>
      <c r="C31" s="33"/>
      <c r="D31" s="620"/>
      <c r="E31" s="623"/>
      <c r="F31" s="18" t="s">
        <v>259</v>
      </c>
      <c r="G31" s="274">
        <v>18</v>
      </c>
      <c r="H31" s="26">
        <v>2</v>
      </c>
      <c r="I31" s="26"/>
      <c r="J31" s="26"/>
      <c r="K31" s="26"/>
      <c r="L31" s="21"/>
      <c r="M31" s="22"/>
      <c r="N31" s="23"/>
      <c r="O31" s="24"/>
      <c r="P31" s="25"/>
      <c r="Q31" s="25"/>
      <c r="R31" s="24"/>
      <c r="S31" s="24"/>
      <c r="T31" s="22"/>
      <c r="U31" s="309" t="s">
        <v>250</v>
      </c>
    </row>
    <row r="32" spans="1:23" ht="13.15" customHeight="1">
      <c r="B32" s="278"/>
      <c r="C32" s="33"/>
      <c r="D32" s="620"/>
      <c r="E32" s="623"/>
      <c r="F32" s="18" t="s">
        <v>260</v>
      </c>
      <c r="G32" s="274">
        <f>+G31+1</f>
        <v>19</v>
      </c>
      <c r="H32" s="26">
        <v>1</v>
      </c>
      <c r="I32" s="26"/>
      <c r="J32" s="26"/>
      <c r="K32" s="26"/>
      <c r="L32" s="21"/>
      <c r="M32" s="22"/>
      <c r="N32" s="23"/>
      <c r="O32" s="24"/>
      <c r="P32" s="25"/>
      <c r="Q32" s="25"/>
      <c r="R32" s="24"/>
      <c r="S32" s="24"/>
      <c r="T32" s="22"/>
      <c r="U32" s="309" t="s">
        <v>251</v>
      </c>
    </row>
    <row r="33" spans="1:21" ht="13.15" customHeight="1">
      <c r="B33" s="278"/>
      <c r="C33" s="33"/>
      <c r="D33" s="620"/>
      <c r="E33" s="623"/>
      <c r="F33" s="18" t="s">
        <v>261</v>
      </c>
      <c r="G33" s="274">
        <v>20</v>
      </c>
      <c r="H33" s="27">
        <v>3</v>
      </c>
      <c r="I33" s="27"/>
      <c r="J33" s="27"/>
      <c r="K33" s="27"/>
      <c r="L33" s="21"/>
      <c r="M33" s="22"/>
      <c r="N33" s="23"/>
      <c r="O33" s="24"/>
      <c r="P33" s="25"/>
      <c r="Q33" s="25"/>
      <c r="R33" s="24"/>
      <c r="S33" s="24"/>
      <c r="T33" s="22"/>
    </row>
    <row r="34" spans="1:21" ht="13.15" customHeight="1">
      <c r="B34" s="278"/>
      <c r="C34" s="33"/>
      <c r="D34" s="620"/>
      <c r="E34" s="623"/>
      <c r="F34" s="28" t="s">
        <v>19</v>
      </c>
      <c r="G34" s="274">
        <v>21</v>
      </c>
      <c r="H34" s="24">
        <v>1</v>
      </c>
      <c r="I34" s="24"/>
      <c r="J34" s="24"/>
      <c r="K34" s="24"/>
      <c r="L34" s="21"/>
      <c r="M34" s="22"/>
      <c r="N34" s="22"/>
      <c r="O34" s="24"/>
      <c r="P34" s="25"/>
      <c r="Q34" s="25"/>
      <c r="R34" s="29"/>
      <c r="S34" s="30"/>
      <c r="T34" s="22"/>
      <c r="U34" s="309" t="s">
        <v>234</v>
      </c>
    </row>
    <row r="35" spans="1:21" ht="13.15" customHeight="1">
      <c r="B35" s="278"/>
      <c r="C35" s="33"/>
      <c r="D35" s="620"/>
      <c r="E35" s="624"/>
      <c r="F35" s="31" t="s">
        <v>20</v>
      </c>
      <c r="G35" s="274">
        <v>22</v>
      </c>
      <c r="H35" s="24">
        <v>40</v>
      </c>
      <c r="I35" s="24"/>
      <c r="J35" s="24"/>
      <c r="K35" s="24"/>
      <c r="L35" s="21"/>
      <c r="M35" s="22"/>
      <c r="N35" s="23"/>
      <c r="O35" s="24"/>
      <c r="P35" s="25"/>
      <c r="Q35" s="25"/>
      <c r="R35" s="32"/>
      <c r="S35" s="24"/>
      <c r="T35" s="22"/>
      <c r="U35" s="307"/>
    </row>
    <row r="36" spans="1:21" s="37" customFormat="1" ht="13.15" customHeight="1">
      <c r="B36" s="278"/>
      <c r="C36" s="33"/>
      <c r="D36" s="621"/>
      <c r="E36" s="34" t="s">
        <v>125</v>
      </c>
      <c r="F36" s="189"/>
      <c r="G36" s="36">
        <v>23</v>
      </c>
      <c r="H36" s="19">
        <f>SUM(H24:H35)</f>
        <v>487</v>
      </c>
      <c r="I36" s="19">
        <f>SUM(I24:I35)</f>
        <v>0</v>
      </c>
      <c r="J36" s="19">
        <f>SUM(J24:J35)</f>
        <v>0</v>
      </c>
      <c r="K36" s="19">
        <f t="shared" ref="K36:T36" si="1">SUM(K24:K35)</f>
        <v>0</v>
      </c>
      <c r="L36" s="19">
        <f t="shared" si="1"/>
        <v>0</v>
      </c>
      <c r="M36" s="19">
        <f t="shared" si="1"/>
        <v>0</v>
      </c>
      <c r="N36" s="19">
        <f t="shared" si="1"/>
        <v>0</v>
      </c>
      <c r="O36" s="19">
        <f t="shared" si="1"/>
        <v>0</v>
      </c>
      <c r="P36" s="19">
        <f t="shared" si="1"/>
        <v>0</v>
      </c>
      <c r="Q36" s="19">
        <f t="shared" si="1"/>
        <v>0</v>
      </c>
      <c r="R36" s="19">
        <f t="shared" si="1"/>
        <v>0</v>
      </c>
      <c r="S36" s="19">
        <f t="shared" si="1"/>
        <v>0</v>
      </c>
      <c r="T36" s="249">
        <f t="shared" si="1"/>
        <v>0</v>
      </c>
      <c r="U36" s="305"/>
    </row>
    <row r="37" spans="1:21" ht="13.15" customHeight="1">
      <c r="B37" s="278"/>
      <c r="C37" s="33"/>
      <c r="D37" s="607" t="s">
        <v>21</v>
      </c>
      <c r="E37" s="58" t="s">
        <v>22</v>
      </c>
      <c r="F37" s="28"/>
      <c r="G37" s="274">
        <f>+G36+1</f>
        <v>24</v>
      </c>
      <c r="H37" s="24">
        <v>60</v>
      </c>
      <c r="I37" s="24"/>
      <c r="J37" s="24"/>
      <c r="K37" s="24"/>
      <c r="L37" s="24"/>
      <c r="M37" s="22"/>
      <c r="N37" s="23"/>
      <c r="O37" s="24"/>
      <c r="P37" s="25"/>
      <c r="Q37" s="25"/>
      <c r="R37" s="24"/>
      <c r="S37" s="24"/>
      <c r="T37" s="22"/>
      <c r="U37" s="306"/>
    </row>
    <row r="38" spans="1:21" ht="13.15" customHeight="1">
      <c r="B38" s="278"/>
      <c r="C38" s="33"/>
      <c r="D38" s="608"/>
      <c r="E38" s="28" t="s">
        <v>23</v>
      </c>
      <c r="F38" s="31" t="s">
        <v>24</v>
      </c>
      <c r="G38" s="274">
        <f>+G37+1</f>
        <v>25</v>
      </c>
      <c r="H38" s="24">
        <v>50</v>
      </c>
      <c r="I38" s="24"/>
      <c r="J38" s="24"/>
      <c r="K38" s="24"/>
      <c r="L38" s="24"/>
      <c r="M38" s="30"/>
      <c r="N38" s="23"/>
      <c r="O38" s="29"/>
      <c r="P38" s="25"/>
      <c r="Q38" s="25"/>
      <c r="R38" s="24"/>
      <c r="S38" s="24"/>
      <c r="T38" s="22"/>
      <c r="U38" s="306"/>
    </row>
    <row r="39" spans="1:21" s="37" customFormat="1" ht="13.15" customHeight="1">
      <c r="B39" s="278"/>
      <c r="C39" s="33"/>
      <c r="D39" s="609"/>
      <c r="E39" s="34" t="s">
        <v>126</v>
      </c>
      <c r="F39" s="35"/>
      <c r="G39" s="36">
        <f>+G38+1</f>
        <v>26</v>
      </c>
      <c r="H39" s="19">
        <f>+H37+H38</f>
        <v>110</v>
      </c>
      <c r="I39" s="19">
        <f>+I37+I38</f>
        <v>0</v>
      </c>
      <c r="J39" s="19">
        <f>+J37+J38</f>
        <v>0</v>
      </c>
      <c r="K39" s="19">
        <f t="shared" ref="K39:T39" si="2">+K37+K38</f>
        <v>0</v>
      </c>
      <c r="L39" s="19">
        <f t="shared" si="2"/>
        <v>0</v>
      </c>
      <c r="M39" s="19">
        <f t="shared" si="2"/>
        <v>0</v>
      </c>
      <c r="N39" s="19">
        <f t="shared" si="2"/>
        <v>0</v>
      </c>
      <c r="O39" s="19">
        <f t="shared" si="2"/>
        <v>0</v>
      </c>
      <c r="P39" s="19">
        <f t="shared" si="2"/>
        <v>0</v>
      </c>
      <c r="Q39" s="19">
        <f t="shared" si="2"/>
        <v>0</v>
      </c>
      <c r="R39" s="19">
        <f t="shared" si="2"/>
        <v>0</v>
      </c>
      <c r="S39" s="19">
        <f t="shared" si="2"/>
        <v>0</v>
      </c>
      <c r="T39" s="249">
        <f t="shared" si="2"/>
        <v>0</v>
      </c>
      <c r="U39" s="306"/>
    </row>
    <row r="40" spans="1:21" ht="13.15" customHeight="1">
      <c r="B40" s="278"/>
      <c r="C40" s="33"/>
      <c r="D40" s="100" t="s">
        <v>102</v>
      </c>
      <c r="E40" s="58"/>
      <c r="F40" s="75"/>
      <c r="G40" s="274"/>
      <c r="H40" s="299"/>
      <c r="I40" s="225"/>
      <c r="J40" s="225"/>
      <c r="K40" s="225"/>
      <c r="L40" s="225"/>
      <c r="M40" s="228"/>
      <c r="N40" s="172"/>
      <c r="O40" s="225"/>
      <c r="P40" s="229"/>
      <c r="Q40" s="229"/>
      <c r="R40" s="225"/>
      <c r="S40" s="225"/>
      <c r="T40" s="228"/>
      <c r="U40" s="306"/>
    </row>
    <row r="41" spans="1:21" ht="13.15" customHeight="1">
      <c r="B41" s="278"/>
      <c r="C41" s="33"/>
      <c r="D41" s="625" t="s">
        <v>264</v>
      </c>
      <c r="E41" s="626"/>
      <c r="F41" s="31" t="s">
        <v>262</v>
      </c>
      <c r="G41" s="274">
        <v>27</v>
      </c>
      <c r="H41" s="39">
        <v>50</v>
      </c>
      <c r="I41" s="39"/>
      <c r="J41" s="39"/>
      <c r="K41" s="39"/>
      <c r="L41" s="24"/>
      <c r="M41" s="40"/>
      <c r="N41" s="23"/>
      <c r="O41" s="32"/>
      <c r="P41" s="25"/>
      <c r="Q41" s="41"/>
      <c r="R41" s="39"/>
      <c r="S41" s="42"/>
      <c r="T41" s="22"/>
      <c r="U41" s="306"/>
    </row>
    <row r="42" spans="1:21" ht="13.15" customHeight="1">
      <c r="B42" s="278"/>
      <c r="C42" s="33"/>
      <c r="D42" s="627"/>
      <c r="E42" s="628"/>
      <c r="F42" s="31" t="s">
        <v>263</v>
      </c>
      <c r="G42" s="274">
        <f>+G41+1</f>
        <v>28</v>
      </c>
      <c r="H42" s="43">
        <v>60</v>
      </c>
      <c r="I42" s="43"/>
      <c r="J42" s="43"/>
      <c r="K42" s="43"/>
      <c r="L42" s="24"/>
      <c r="M42" s="44"/>
      <c r="N42" s="23"/>
      <c r="O42" s="32"/>
      <c r="P42" s="25"/>
      <c r="Q42" s="45"/>
      <c r="R42" s="43"/>
      <c r="S42" s="46"/>
      <c r="T42" s="22"/>
      <c r="U42" s="305" t="s">
        <v>265</v>
      </c>
    </row>
    <row r="43" spans="1:21" ht="13.15" customHeight="1">
      <c r="B43" s="278"/>
      <c r="C43" s="33"/>
      <c r="D43" s="600" t="s">
        <v>25</v>
      </c>
      <c r="E43" s="601"/>
      <c r="F43" s="31"/>
      <c r="G43" s="274">
        <v>29</v>
      </c>
      <c r="H43" s="24">
        <v>10</v>
      </c>
      <c r="I43" s="24"/>
      <c r="J43" s="24"/>
      <c r="K43" s="24"/>
      <c r="L43" s="24"/>
      <c r="M43" s="22"/>
      <c r="N43" s="23"/>
      <c r="O43" s="24"/>
      <c r="P43" s="25"/>
      <c r="Q43" s="25"/>
      <c r="R43" s="24"/>
      <c r="S43" s="24"/>
      <c r="T43" s="22"/>
      <c r="U43" s="305"/>
    </row>
    <row r="44" spans="1:21" ht="13.15" customHeight="1">
      <c r="B44" s="278"/>
      <c r="C44" s="33"/>
      <c r="D44" s="600" t="s">
        <v>26</v>
      </c>
      <c r="E44" s="601"/>
      <c r="F44" s="31"/>
      <c r="G44" s="274">
        <v>30</v>
      </c>
      <c r="H44" s="24">
        <v>5</v>
      </c>
      <c r="I44" s="24"/>
      <c r="J44" s="24"/>
      <c r="K44" s="24"/>
      <c r="L44" s="24"/>
      <c r="M44" s="22"/>
      <c r="N44" s="43"/>
      <c r="O44" s="22"/>
      <c r="P44" s="25"/>
      <c r="Q44" s="25"/>
      <c r="R44" s="24"/>
      <c r="S44" s="24"/>
      <c r="T44" s="22"/>
      <c r="U44" s="305"/>
    </row>
    <row r="45" spans="1:21" ht="13.15" customHeight="1">
      <c r="B45" s="278"/>
      <c r="C45" s="33"/>
      <c r="D45" s="600" t="s">
        <v>27</v>
      </c>
      <c r="E45" s="601"/>
      <c r="F45" s="31"/>
      <c r="G45" s="274">
        <v>31</v>
      </c>
      <c r="H45" s="24">
        <v>10</v>
      </c>
      <c r="I45" s="24"/>
      <c r="J45" s="24"/>
      <c r="K45" s="24"/>
      <c r="L45" s="24"/>
      <c r="M45" s="30"/>
      <c r="N45" s="23"/>
      <c r="O45" s="26"/>
      <c r="P45" s="25"/>
      <c r="Q45" s="25"/>
      <c r="R45" s="24"/>
      <c r="S45" s="24"/>
      <c r="T45" s="22"/>
      <c r="U45" s="305"/>
    </row>
    <row r="46" spans="1:21" s="47" customFormat="1" ht="13.9" customHeight="1" thickBot="1">
      <c r="A46" s="37"/>
      <c r="B46" s="283"/>
      <c r="C46" s="60"/>
      <c r="D46" s="170" t="s">
        <v>127</v>
      </c>
      <c r="E46" s="65"/>
      <c r="F46" s="171"/>
      <c r="G46" s="190">
        <v>32</v>
      </c>
      <c r="H46" s="300">
        <f>+H42+H43+H44+H45</f>
        <v>85</v>
      </c>
      <c r="I46" s="19">
        <f>+I42+I43+I44+I45</f>
        <v>0</v>
      </c>
      <c r="J46" s="19">
        <f>+J42+J43+J44+J45</f>
        <v>0</v>
      </c>
      <c r="K46" s="19">
        <f t="shared" ref="K46:T46" si="3">+K42+K43+K44+K45</f>
        <v>0</v>
      </c>
      <c r="L46" s="19">
        <f t="shared" si="3"/>
        <v>0</v>
      </c>
      <c r="M46" s="19">
        <f t="shared" si="3"/>
        <v>0</v>
      </c>
      <c r="N46" s="19">
        <f t="shared" si="3"/>
        <v>0</v>
      </c>
      <c r="O46" s="19">
        <f t="shared" si="3"/>
        <v>0</v>
      </c>
      <c r="P46" s="19">
        <f t="shared" si="3"/>
        <v>0</v>
      </c>
      <c r="Q46" s="19">
        <f t="shared" si="3"/>
        <v>0</v>
      </c>
      <c r="R46" s="19">
        <f t="shared" si="3"/>
        <v>0</v>
      </c>
      <c r="S46" s="19">
        <f t="shared" si="3"/>
        <v>0</v>
      </c>
      <c r="T46" s="249">
        <f t="shared" si="3"/>
        <v>0</v>
      </c>
      <c r="U46" s="305"/>
    </row>
    <row r="47" spans="1:21" ht="13.5" thickTop="1">
      <c r="B47" s="278">
        <v>2</v>
      </c>
      <c r="C47" s="33" t="s">
        <v>31</v>
      </c>
      <c r="D47" s="94"/>
      <c r="E47" s="207"/>
      <c r="F47" s="94"/>
      <c r="G47" s="13"/>
      <c r="H47" s="301"/>
      <c r="I47" s="62"/>
      <c r="J47" s="62"/>
      <c r="K47" s="62"/>
      <c r="L47" s="62"/>
      <c r="M47" s="62"/>
      <c r="N47" s="63"/>
      <c r="O47" s="62"/>
      <c r="P47" s="64"/>
      <c r="Q47" s="64"/>
      <c r="R47" s="62"/>
      <c r="S47" s="62"/>
      <c r="T47" s="62"/>
      <c r="U47" s="304"/>
    </row>
    <row r="48" spans="1:21" ht="13.5" thickBot="1">
      <c r="B48" s="283"/>
      <c r="C48" s="60"/>
      <c r="D48" s="219" t="s">
        <v>32</v>
      </c>
      <c r="E48" s="65"/>
      <c r="F48" s="208"/>
      <c r="G48" s="209">
        <v>33</v>
      </c>
      <c r="H48" s="284">
        <v>77</v>
      </c>
      <c r="I48" s="66"/>
      <c r="J48" s="66"/>
      <c r="K48" s="66"/>
      <c r="L48" s="67"/>
      <c r="M48" s="68"/>
      <c r="N48" s="67"/>
      <c r="O48" s="69"/>
      <c r="P48" s="70"/>
      <c r="Q48" s="70"/>
      <c r="R48" s="66"/>
      <c r="S48" s="66"/>
      <c r="T48" s="250"/>
      <c r="U48" s="269" t="s">
        <v>198</v>
      </c>
    </row>
    <row r="49" spans="1:21" ht="13.5" thickTop="1">
      <c r="B49" s="278">
        <v>3</v>
      </c>
      <c r="C49" s="33" t="s">
        <v>33</v>
      </c>
      <c r="D49" s="94"/>
      <c r="E49" s="210"/>
      <c r="F49" s="94"/>
      <c r="G49" s="13"/>
      <c r="H49" s="73"/>
      <c r="I49" s="71"/>
      <c r="J49" s="71"/>
      <c r="K49" s="71"/>
      <c r="L49" s="71"/>
      <c r="M49" s="71"/>
      <c r="N49" s="72"/>
      <c r="O49" s="71"/>
      <c r="P49" s="71"/>
      <c r="Q49" s="71"/>
      <c r="R49" s="71"/>
      <c r="S49" s="71"/>
      <c r="T49" s="71"/>
      <c r="U49" s="269"/>
    </row>
    <row r="50" spans="1:21">
      <c r="B50" s="278"/>
      <c r="C50" s="33"/>
      <c r="D50" s="607" t="s">
        <v>34</v>
      </c>
      <c r="E50" s="74" t="s">
        <v>35</v>
      </c>
      <c r="F50" s="75"/>
      <c r="G50" s="274">
        <f>+G48+1</f>
        <v>34</v>
      </c>
      <c r="H50" s="77">
        <v>105742</v>
      </c>
      <c r="I50" s="76"/>
      <c r="J50" s="76"/>
      <c r="K50" s="76"/>
      <c r="L50" s="76"/>
      <c r="M50" s="76"/>
      <c r="N50" s="76"/>
      <c r="O50" s="76"/>
      <c r="P50" s="77"/>
      <c r="Q50" s="77"/>
      <c r="R50" s="76"/>
      <c r="S50" s="76"/>
      <c r="T50" s="251"/>
      <c r="U50" s="269" t="s">
        <v>144</v>
      </c>
    </row>
    <row r="51" spans="1:21">
      <c r="B51" s="278"/>
      <c r="C51" s="33"/>
      <c r="D51" s="608"/>
      <c r="E51" s="74" t="s">
        <v>36</v>
      </c>
      <c r="F51" s="75"/>
      <c r="G51" s="274">
        <f>+G50+1</f>
        <v>35</v>
      </c>
      <c r="H51" s="220">
        <v>52078</v>
      </c>
      <c r="I51" s="78"/>
      <c r="J51" s="78"/>
      <c r="K51" s="78"/>
      <c r="L51" s="79"/>
      <c r="M51" s="80"/>
      <c r="N51" s="79"/>
      <c r="O51" s="78"/>
      <c r="P51" s="81"/>
      <c r="Q51" s="81"/>
      <c r="R51" s="78"/>
      <c r="S51" s="78"/>
      <c r="T51" s="80"/>
      <c r="U51" s="269" t="s">
        <v>219</v>
      </c>
    </row>
    <row r="52" spans="1:21">
      <c r="B52" s="278"/>
      <c r="C52" s="33"/>
      <c r="D52" s="608"/>
      <c r="E52" s="74" t="s">
        <v>37</v>
      </c>
      <c r="F52" s="75"/>
      <c r="G52" s="274">
        <f>+G51+1</f>
        <v>36</v>
      </c>
      <c r="H52" s="83">
        <v>53139</v>
      </c>
      <c r="I52" s="82"/>
      <c r="J52" s="82"/>
      <c r="K52" s="82"/>
      <c r="L52" s="82"/>
      <c r="M52" s="82"/>
      <c r="N52" s="82"/>
      <c r="O52" s="82"/>
      <c r="P52" s="83"/>
      <c r="Q52" s="83"/>
      <c r="R52" s="82"/>
      <c r="S52" s="82"/>
      <c r="T52" s="252"/>
      <c r="U52" s="269" t="s">
        <v>220</v>
      </c>
    </row>
    <row r="53" spans="1:21">
      <c r="B53" s="278"/>
      <c r="C53" s="33"/>
      <c r="D53" s="608"/>
      <c r="E53" s="74" t="s">
        <v>38</v>
      </c>
      <c r="F53" s="75"/>
      <c r="G53" s="274">
        <f>+G52+1</f>
        <v>37</v>
      </c>
      <c r="H53" s="220">
        <v>7688</v>
      </c>
      <c r="I53" s="78"/>
      <c r="J53" s="78"/>
      <c r="K53" s="78"/>
      <c r="L53" s="79"/>
      <c r="M53" s="80"/>
      <c r="N53" s="80"/>
      <c r="O53" s="78"/>
      <c r="P53" s="81"/>
      <c r="Q53" s="81"/>
      <c r="R53" s="78"/>
      <c r="S53" s="78"/>
      <c r="T53" s="80"/>
      <c r="U53" s="269" t="s">
        <v>185</v>
      </c>
    </row>
    <row r="54" spans="1:21" s="37" customFormat="1" ht="13.5" thickBot="1">
      <c r="B54" s="278"/>
      <c r="C54" s="84"/>
      <c r="D54" s="609"/>
      <c r="E54" s="170" t="s">
        <v>128</v>
      </c>
      <c r="F54" s="171"/>
      <c r="G54" s="190">
        <f>+G53+1</f>
        <v>38</v>
      </c>
      <c r="H54" s="201">
        <f t="shared" ref="H54" si="4">SUM(H50:H53)</f>
        <v>218647</v>
      </c>
      <c r="I54" s="201">
        <f t="shared" ref="I54:T54" si="5">SUM(I50:I53)</f>
        <v>0</v>
      </c>
      <c r="J54" s="201">
        <f t="shared" si="5"/>
        <v>0</v>
      </c>
      <c r="K54" s="201">
        <f t="shared" si="5"/>
        <v>0</v>
      </c>
      <c r="L54" s="201">
        <f t="shared" si="5"/>
        <v>0</v>
      </c>
      <c r="M54" s="201">
        <f t="shared" si="5"/>
        <v>0</v>
      </c>
      <c r="N54" s="201">
        <f t="shared" si="5"/>
        <v>0</v>
      </c>
      <c r="O54" s="201">
        <f t="shared" si="5"/>
        <v>0</v>
      </c>
      <c r="P54" s="201">
        <f t="shared" si="5"/>
        <v>0</v>
      </c>
      <c r="Q54" s="201">
        <f t="shared" si="5"/>
        <v>0</v>
      </c>
      <c r="R54" s="201">
        <f t="shared" si="5"/>
        <v>0</v>
      </c>
      <c r="S54" s="201">
        <f t="shared" si="5"/>
        <v>0</v>
      </c>
      <c r="T54" s="253">
        <f t="shared" si="5"/>
        <v>0</v>
      </c>
      <c r="U54" s="100" t="s">
        <v>146</v>
      </c>
    </row>
    <row r="55" spans="1:21" ht="13.5" thickTop="1">
      <c r="B55" s="241"/>
      <c r="C55" s="142"/>
      <c r="D55" s="273" t="s">
        <v>39</v>
      </c>
      <c r="E55" s="196" t="s">
        <v>40</v>
      </c>
      <c r="F55" s="144"/>
      <c r="G55" s="150">
        <f>+G54+1</f>
        <v>39</v>
      </c>
      <c r="H55" s="220">
        <v>97531</v>
      </c>
      <c r="I55" s="197"/>
      <c r="J55" s="197"/>
      <c r="K55" s="197"/>
      <c r="L55" s="197"/>
      <c r="M55" s="198"/>
      <c r="N55" s="199"/>
      <c r="O55" s="197"/>
      <c r="P55" s="200"/>
      <c r="Q55" s="200"/>
      <c r="R55" s="197"/>
      <c r="S55" s="197"/>
      <c r="T55" s="198"/>
      <c r="U55" s="269" t="s">
        <v>145</v>
      </c>
    </row>
    <row r="56" spans="1:21">
      <c r="B56" s="278">
        <v>4</v>
      </c>
      <c r="C56" s="33" t="s">
        <v>41</v>
      </c>
      <c r="D56" s="94"/>
      <c r="E56" s="207"/>
      <c r="F56" s="94"/>
      <c r="G56" s="13"/>
      <c r="H56" s="71"/>
      <c r="I56" s="71"/>
      <c r="J56" s="71"/>
      <c r="K56" s="71"/>
      <c r="L56" s="71"/>
      <c r="M56" s="71"/>
      <c r="N56" s="85"/>
      <c r="O56" s="71"/>
      <c r="P56" s="71"/>
      <c r="Q56" s="71"/>
      <c r="R56" s="71"/>
      <c r="S56" s="71"/>
      <c r="T56" s="71"/>
      <c r="U56" s="269"/>
    </row>
    <row r="57" spans="1:21">
      <c r="B57" s="278"/>
      <c r="C57" s="33" t="s">
        <v>42</v>
      </c>
      <c r="D57" s="94"/>
      <c r="E57" s="207"/>
      <c r="F57" s="94"/>
      <c r="G57" s="13"/>
      <c r="H57" s="71"/>
      <c r="I57" s="71"/>
      <c r="J57" s="71"/>
      <c r="K57" s="71"/>
      <c r="L57" s="71"/>
      <c r="M57" s="71"/>
      <c r="N57" s="72"/>
      <c r="O57" s="71"/>
      <c r="P57" s="71"/>
      <c r="Q57" s="71"/>
      <c r="R57" s="71"/>
      <c r="S57" s="71"/>
      <c r="T57" s="71"/>
      <c r="U57" s="269"/>
    </row>
    <row r="58" spans="1:21">
      <c r="B58" s="278"/>
      <c r="C58" s="33"/>
      <c r="D58" s="611" t="s">
        <v>43</v>
      </c>
      <c r="E58" s="86" t="s">
        <v>44</v>
      </c>
      <c r="F58" s="75"/>
      <c r="G58" s="193">
        <f>+G55+1</f>
        <v>40</v>
      </c>
      <c r="H58" s="88">
        <v>0</v>
      </c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121"/>
      <c r="U58" s="269" t="s">
        <v>190</v>
      </c>
    </row>
    <row r="59" spans="1:21">
      <c r="B59" s="278"/>
      <c r="C59" s="33"/>
      <c r="D59" s="611"/>
      <c r="E59" s="86" t="s">
        <v>45</v>
      </c>
      <c r="F59" s="75"/>
      <c r="G59" s="193">
        <f>+G58+1</f>
        <v>41</v>
      </c>
      <c r="H59" s="88">
        <v>8</v>
      </c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121"/>
      <c r="U59" s="269" t="s">
        <v>191</v>
      </c>
    </row>
    <row r="60" spans="1:21" s="1" customFormat="1" ht="15">
      <c r="A60" s="285"/>
      <c r="B60" s="278"/>
      <c r="C60" s="33"/>
      <c r="D60" s="611"/>
      <c r="E60" s="34" t="s">
        <v>87</v>
      </c>
      <c r="F60" s="38"/>
      <c r="G60" s="89">
        <f>+G59+1</f>
        <v>42</v>
      </c>
      <c r="H60" s="19">
        <f>+H58+H59</f>
        <v>8</v>
      </c>
      <c r="I60" s="19">
        <f t="shared" ref="I60:T60" si="6">+I58+I59</f>
        <v>0</v>
      </c>
      <c r="J60" s="19">
        <f t="shared" si="6"/>
        <v>0</v>
      </c>
      <c r="K60" s="19">
        <f t="shared" si="6"/>
        <v>0</v>
      </c>
      <c r="L60" s="19">
        <f t="shared" si="6"/>
        <v>0</v>
      </c>
      <c r="M60" s="19">
        <f t="shared" si="6"/>
        <v>0</v>
      </c>
      <c r="N60" s="19">
        <f t="shared" si="6"/>
        <v>0</v>
      </c>
      <c r="O60" s="19">
        <f t="shared" si="6"/>
        <v>0</v>
      </c>
      <c r="P60" s="19">
        <f t="shared" si="6"/>
        <v>0</v>
      </c>
      <c r="Q60" s="19">
        <f t="shared" si="6"/>
        <v>0</v>
      </c>
      <c r="R60" s="19">
        <f t="shared" si="6"/>
        <v>0</v>
      </c>
      <c r="S60" s="19">
        <f t="shared" si="6"/>
        <v>0</v>
      </c>
      <c r="T60" s="249">
        <f t="shared" si="6"/>
        <v>0</v>
      </c>
      <c r="U60" s="270" t="s">
        <v>192</v>
      </c>
    </row>
    <row r="61" spans="1:21">
      <c r="B61" s="278"/>
      <c r="C61" s="230"/>
      <c r="D61" s="611"/>
      <c r="E61" s="86" t="s">
        <v>104</v>
      </c>
      <c r="F61" s="286"/>
      <c r="G61" s="90">
        <f>+G60+1</f>
        <v>43</v>
      </c>
      <c r="H61" s="92">
        <v>0</v>
      </c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254"/>
      <c r="U61" s="269" t="s">
        <v>187</v>
      </c>
    </row>
    <row r="62" spans="1:21">
      <c r="B62" s="278"/>
      <c r="C62" s="33"/>
      <c r="D62" s="611"/>
      <c r="E62" s="86" t="s">
        <v>103</v>
      </c>
      <c r="F62" s="75"/>
      <c r="G62" s="274">
        <v>44</v>
      </c>
      <c r="H62" s="93">
        <v>2</v>
      </c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255"/>
      <c r="U62" s="269" t="s">
        <v>188</v>
      </c>
    </row>
    <row r="63" spans="1:21">
      <c r="B63" s="278"/>
      <c r="C63" s="33"/>
      <c r="D63" s="126" t="s">
        <v>129</v>
      </c>
      <c r="E63" s="126"/>
      <c r="F63" s="38"/>
      <c r="G63" s="193">
        <v>45</v>
      </c>
      <c r="H63" s="19">
        <f>H60+H62</f>
        <v>10</v>
      </c>
      <c r="I63" s="19">
        <f t="shared" ref="I63:T63" si="7">I60+I62</f>
        <v>0</v>
      </c>
      <c r="J63" s="19">
        <f t="shared" si="7"/>
        <v>0</v>
      </c>
      <c r="K63" s="19">
        <f t="shared" si="7"/>
        <v>0</v>
      </c>
      <c r="L63" s="19">
        <f t="shared" si="7"/>
        <v>0</v>
      </c>
      <c r="M63" s="19">
        <f t="shared" si="7"/>
        <v>0</v>
      </c>
      <c r="N63" s="19">
        <f t="shared" si="7"/>
        <v>0</v>
      </c>
      <c r="O63" s="19">
        <f t="shared" si="7"/>
        <v>0</v>
      </c>
      <c r="P63" s="19">
        <f t="shared" si="7"/>
        <v>0</v>
      </c>
      <c r="Q63" s="19">
        <f t="shared" si="7"/>
        <v>0</v>
      </c>
      <c r="R63" s="19">
        <f t="shared" si="7"/>
        <v>0</v>
      </c>
      <c r="S63" s="19">
        <f t="shared" si="7"/>
        <v>0</v>
      </c>
      <c r="T63" s="249">
        <f t="shared" si="7"/>
        <v>0</v>
      </c>
      <c r="U63" s="270" t="s">
        <v>292</v>
      </c>
    </row>
    <row r="64" spans="1:21">
      <c r="B64" s="278"/>
      <c r="C64" s="33" t="s">
        <v>93</v>
      </c>
      <c r="D64" s="231"/>
      <c r="E64" s="94"/>
      <c r="F64" s="94"/>
      <c r="G64" s="13"/>
      <c r="H64" s="71"/>
      <c r="I64" s="71"/>
      <c r="J64" s="71"/>
      <c r="K64" s="71"/>
      <c r="L64" s="71"/>
      <c r="M64" s="71"/>
      <c r="N64" s="95"/>
      <c r="O64" s="71"/>
      <c r="P64" s="71"/>
      <c r="Q64" s="71"/>
      <c r="R64" s="71"/>
      <c r="S64" s="71"/>
      <c r="T64" s="71"/>
      <c r="U64" s="269"/>
    </row>
    <row r="65" spans="1:21">
      <c r="B65" s="278"/>
      <c r="C65" s="33"/>
      <c r="D65" s="599" t="s">
        <v>94</v>
      </c>
      <c r="E65" s="599"/>
      <c r="F65" s="599"/>
      <c r="G65" s="274">
        <v>46</v>
      </c>
      <c r="H65" s="87">
        <v>2</v>
      </c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256"/>
      <c r="U65" s="269" t="s">
        <v>164</v>
      </c>
    </row>
    <row r="66" spans="1:21">
      <c r="B66" s="278"/>
      <c r="C66" s="33"/>
      <c r="D66" s="599" t="s">
        <v>95</v>
      </c>
      <c r="E66" s="599"/>
      <c r="F66" s="599"/>
      <c r="G66" s="274">
        <v>47</v>
      </c>
      <c r="H66" s="87">
        <v>0</v>
      </c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256"/>
      <c r="U66" s="269" t="s">
        <v>165</v>
      </c>
    </row>
    <row r="67" spans="1:21">
      <c r="B67" s="278"/>
      <c r="C67" s="33" t="s">
        <v>121</v>
      </c>
      <c r="D67" s="231"/>
      <c r="E67" s="94"/>
      <c r="F67" s="94"/>
      <c r="G67" s="13"/>
      <c r="H67" s="71"/>
      <c r="I67" s="71"/>
      <c r="J67" s="71"/>
      <c r="K67" s="71"/>
      <c r="L67" s="71"/>
      <c r="M67" s="71"/>
      <c r="N67" s="95"/>
      <c r="O67" s="71"/>
      <c r="P67" s="71"/>
      <c r="Q67" s="71"/>
      <c r="R67" s="71"/>
      <c r="S67" s="71"/>
      <c r="T67" s="71"/>
      <c r="U67" s="269"/>
    </row>
    <row r="68" spans="1:21">
      <c r="B68" s="278"/>
      <c r="C68" s="33"/>
      <c r="D68" s="599" t="s">
        <v>120</v>
      </c>
      <c r="E68" s="599"/>
      <c r="F68" s="599"/>
      <c r="G68" s="274">
        <v>48</v>
      </c>
      <c r="H68" s="87">
        <v>2</v>
      </c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256"/>
      <c r="U68" s="269" t="s">
        <v>140</v>
      </c>
    </row>
    <row r="69" spans="1:21">
      <c r="B69" s="278"/>
      <c r="C69" s="33"/>
      <c r="D69" s="599" t="s">
        <v>122</v>
      </c>
      <c r="E69" s="599"/>
      <c r="F69" s="599"/>
      <c r="G69" s="274">
        <v>49</v>
      </c>
      <c r="H69" s="87">
        <v>2</v>
      </c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256"/>
      <c r="U69" s="269" t="s">
        <v>266</v>
      </c>
    </row>
    <row r="70" spans="1:21">
      <c r="B70" s="278"/>
      <c r="C70" s="33"/>
      <c r="D70" s="599" t="s">
        <v>123</v>
      </c>
      <c r="E70" s="599"/>
      <c r="F70" s="599"/>
      <c r="G70" s="274">
        <v>50</v>
      </c>
      <c r="H70" s="87">
        <v>0</v>
      </c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256"/>
      <c r="U70" s="269" t="s">
        <v>193</v>
      </c>
    </row>
    <row r="71" spans="1:21">
      <c r="B71" s="278"/>
      <c r="C71" s="33" t="s">
        <v>119</v>
      </c>
      <c r="D71" s="94"/>
      <c r="E71" s="207"/>
      <c r="F71" s="94"/>
      <c r="G71" s="13"/>
      <c r="H71" s="71"/>
      <c r="I71" s="71"/>
      <c r="J71" s="71"/>
      <c r="K71" s="71"/>
      <c r="L71" s="71"/>
      <c r="M71" s="71"/>
      <c r="N71" s="97"/>
      <c r="O71" s="71"/>
      <c r="P71" s="71"/>
      <c r="Q71" s="71"/>
      <c r="R71" s="71"/>
      <c r="S71" s="71"/>
      <c r="T71" s="71"/>
      <c r="U71" s="269"/>
    </row>
    <row r="72" spans="1:21">
      <c r="B72" s="278"/>
      <c r="C72" s="33"/>
      <c r="D72" s="612" t="s">
        <v>46</v>
      </c>
      <c r="E72" s="98" t="s">
        <v>47</v>
      </c>
      <c r="F72" s="75"/>
      <c r="G72" s="274">
        <v>51</v>
      </c>
      <c r="H72" s="88">
        <v>0</v>
      </c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121"/>
      <c r="U72" s="269" t="s">
        <v>166</v>
      </c>
    </row>
    <row r="73" spans="1:21">
      <c r="B73" s="278"/>
      <c r="C73" s="33"/>
      <c r="D73" s="612"/>
      <c r="E73" s="98" t="s">
        <v>105</v>
      </c>
      <c r="F73" s="75"/>
      <c r="G73" s="274">
        <f t="shared" ref="G73:G78" si="8">+G72+1</f>
        <v>52</v>
      </c>
      <c r="H73" s="88">
        <v>8</v>
      </c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121"/>
      <c r="U73" s="269" t="s">
        <v>167</v>
      </c>
    </row>
    <row r="74" spans="1:21">
      <c r="B74" s="278"/>
      <c r="C74" s="33"/>
      <c r="D74" s="612"/>
      <c r="E74" s="98" t="s">
        <v>48</v>
      </c>
      <c r="F74" s="75"/>
      <c r="G74" s="274">
        <f t="shared" si="8"/>
        <v>53</v>
      </c>
      <c r="H74" s="88">
        <v>2</v>
      </c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121"/>
      <c r="U74" s="269" t="s">
        <v>209</v>
      </c>
    </row>
    <row r="75" spans="1:21">
      <c r="B75" s="278"/>
      <c r="C75" s="33"/>
      <c r="D75" s="612"/>
      <c r="E75" s="98" t="s">
        <v>49</v>
      </c>
      <c r="F75" s="75"/>
      <c r="G75" s="274">
        <f t="shared" si="8"/>
        <v>54</v>
      </c>
      <c r="H75" s="88">
        <v>3</v>
      </c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121"/>
      <c r="U75" s="269" t="s">
        <v>210</v>
      </c>
    </row>
    <row r="76" spans="1:21">
      <c r="B76" s="278"/>
      <c r="C76" s="33"/>
      <c r="D76" s="612"/>
      <c r="E76" s="98" t="s">
        <v>50</v>
      </c>
      <c r="F76" s="75"/>
      <c r="G76" s="274">
        <f t="shared" si="8"/>
        <v>55</v>
      </c>
      <c r="H76" s="88">
        <v>0</v>
      </c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121"/>
      <c r="U76" s="269" t="s">
        <v>211</v>
      </c>
    </row>
    <row r="77" spans="1:21">
      <c r="B77" s="278"/>
      <c r="C77" s="33"/>
      <c r="D77" s="612"/>
      <c r="E77" s="74" t="s">
        <v>51</v>
      </c>
      <c r="F77" s="75"/>
      <c r="G77" s="274">
        <f t="shared" si="8"/>
        <v>56</v>
      </c>
      <c r="H77" s="88">
        <v>0</v>
      </c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121"/>
      <c r="U77" s="269" t="s">
        <v>212</v>
      </c>
    </row>
    <row r="78" spans="1:21" s="1" customFormat="1">
      <c r="A78" s="37"/>
      <c r="B78" s="278"/>
      <c r="C78" s="167"/>
      <c r="D78" s="100" t="s">
        <v>130</v>
      </c>
      <c r="E78" s="101"/>
      <c r="F78" s="38"/>
      <c r="G78" s="36">
        <f t="shared" si="8"/>
        <v>57</v>
      </c>
      <c r="H78" s="99">
        <f>SUM(H72:H77)</f>
        <v>13</v>
      </c>
      <c r="I78" s="99">
        <f>SUM(I72:I77)</f>
        <v>0</v>
      </c>
      <c r="J78" s="99">
        <f t="shared" ref="J78:T78" si="9">SUM(J72:J77)</f>
        <v>0</v>
      </c>
      <c r="K78" s="99">
        <f t="shared" si="9"/>
        <v>0</v>
      </c>
      <c r="L78" s="99">
        <f t="shared" si="9"/>
        <v>0</v>
      </c>
      <c r="M78" s="99">
        <f t="shared" si="9"/>
        <v>0</v>
      </c>
      <c r="N78" s="99">
        <f t="shared" si="9"/>
        <v>0</v>
      </c>
      <c r="O78" s="99">
        <f t="shared" si="9"/>
        <v>0</v>
      </c>
      <c r="P78" s="99">
        <f t="shared" si="9"/>
        <v>0</v>
      </c>
      <c r="Q78" s="99">
        <f t="shared" si="9"/>
        <v>0</v>
      </c>
      <c r="R78" s="99">
        <f t="shared" si="9"/>
        <v>0</v>
      </c>
      <c r="S78" s="99">
        <f t="shared" si="9"/>
        <v>0</v>
      </c>
      <c r="T78" s="249">
        <f t="shared" si="9"/>
        <v>0</v>
      </c>
      <c r="U78" s="270" t="s">
        <v>169</v>
      </c>
    </row>
    <row r="79" spans="1:21" s="1" customFormat="1">
      <c r="A79" s="37"/>
      <c r="B79" s="278"/>
      <c r="C79" s="33"/>
      <c r="D79" s="100" t="s">
        <v>131</v>
      </c>
      <c r="E79" s="101"/>
      <c r="F79" s="38"/>
      <c r="G79" s="36">
        <v>58</v>
      </c>
      <c r="H79" s="99">
        <f>SUM(H73:H77)</f>
        <v>13</v>
      </c>
      <c r="I79" s="99">
        <f>SUM(I73:I77)</f>
        <v>0</v>
      </c>
      <c r="J79" s="99">
        <f t="shared" ref="J79:T79" si="10">SUM(J73:J77)</f>
        <v>0</v>
      </c>
      <c r="K79" s="99">
        <f t="shared" si="10"/>
        <v>0</v>
      </c>
      <c r="L79" s="99">
        <f t="shared" si="10"/>
        <v>0</v>
      </c>
      <c r="M79" s="99">
        <f t="shared" si="10"/>
        <v>0</v>
      </c>
      <c r="N79" s="99">
        <f t="shared" si="10"/>
        <v>0</v>
      </c>
      <c r="O79" s="99">
        <f t="shared" si="10"/>
        <v>0</v>
      </c>
      <c r="P79" s="99">
        <f t="shared" si="10"/>
        <v>0</v>
      </c>
      <c r="Q79" s="99">
        <f t="shared" si="10"/>
        <v>0</v>
      </c>
      <c r="R79" s="99">
        <f t="shared" si="10"/>
        <v>0</v>
      </c>
      <c r="S79" s="99">
        <f t="shared" si="10"/>
        <v>0</v>
      </c>
      <c r="T79" s="249">
        <f t="shared" si="10"/>
        <v>0</v>
      </c>
      <c r="U79" s="270" t="s">
        <v>168</v>
      </c>
    </row>
    <row r="80" spans="1:21">
      <c r="B80" s="278"/>
      <c r="C80" s="33"/>
      <c r="D80" s="607" t="s">
        <v>52</v>
      </c>
      <c r="E80" s="98" t="s">
        <v>113</v>
      </c>
      <c r="F80" s="75"/>
      <c r="G80" s="274">
        <v>59</v>
      </c>
      <c r="H80" s="88">
        <v>1</v>
      </c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121"/>
      <c r="U80" s="269" t="s">
        <v>194</v>
      </c>
    </row>
    <row r="81" spans="2:21">
      <c r="B81" s="278"/>
      <c r="C81" s="33"/>
      <c r="D81" s="608"/>
      <c r="E81" s="98" t="s">
        <v>201</v>
      </c>
      <c r="F81" s="75"/>
      <c r="G81" s="274">
        <f t="shared" ref="G81:G96" si="11">+G80+1</f>
        <v>60</v>
      </c>
      <c r="H81" s="88">
        <v>0</v>
      </c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121"/>
      <c r="U81" s="269" t="s">
        <v>213</v>
      </c>
    </row>
    <row r="82" spans="2:21">
      <c r="B82" s="278"/>
      <c r="C82" s="33"/>
      <c r="D82" s="608"/>
      <c r="E82" s="98" t="s">
        <v>202</v>
      </c>
      <c r="F82" s="75"/>
      <c r="G82" s="274">
        <f t="shared" si="11"/>
        <v>61</v>
      </c>
      <c r="H82" s="88">
        <v>0</v>
      </c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121"/>
      <c r="U82" s="269" t="s">
        <v>214</v>
      </c>
    </row>
    <row r="83" spans="2:21">
      <c r="B83" s="278"/>
      <c r="C83" s="33"/>
      <c r="D83" s="609"/>
      <c r="E83" s="98" t="s">
        <v>203</v>
      </c>
      <c r="F83" s="75"/>
      <c r="G83" s="274">
        <f t="shared" si="11"/>
        <v>62</v>
      </c>
      <c r="H83" s="88">
        <v>4</v>
      </c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121"/>
      <c r="U83" s="269" t="s">
        <v>215</v>
      </c>
    </row>
    <row r="84" spans="2:21">
      <c r="B84" s="278"/>
      <c r="C84" s="33"/>
      <c r="D84" s="100" t="s">
        <v>133</v>
      </c>
      <c r="E84" s="101"/>
      <c r="F84" s="38"/>
      <c r="G84" s="36">
        <f t="shared" si="11"/>
        <v>63</v>
      </c>
      <c r="H84" s="99">
        <f t="shared" ref="H84" si="12">SUM(H80:H83)</f>
        <v>5</v>
      </c>
      <c r="I84" s="99">
        <f t="shared" ref="I84:T84" si="13">SUM(I80:I83)</f>
        <v>0</v>
      </c>
      <c r="J84" s="99">
        <f t="shared" si="13"/>
        <v>0</v>
      </c>
      <c r="K84" s="99">
        <f t="shared" si="13"/>
        <v>0</v>
      </c>
      <c r="L84" s="99">
        <f t="shared" si="13"/>
        <v>0</v>
      </c>
      <c r="M84" s="99">
        <f t="shared" si="13"/>
        <v>0</v>
      </c>
      <c r="N84" s="99">
        <f t="shared" si="13"/>
        <v>0</v>
      </c>
      <c r="O84" s="99">
        <f t="shared" si="13"/>
        <v>0</v>
      </c>
      <c r="P84" s="99">
        <f t="shared" si="13"/>
        <v>0</v>
      </c>
      <c r="Q84" s="99">
        <f t="shared" si="13"/>
        <v>0</v>
      </c>
      <c r="R84" s="99">
        <f t="shared" si="13"/>
        <v>0</v>
      </c>
      <c r="S84" s="99">
        <f t="shared" si="13"/>
        <v>0</v>
      </c>
      <c r="T84" s="249">
        <f t="shared" si="13"/>
        <v>0</v>
      </c>
      <c r="U84" s="270" t="s">
        <v>147</v>
      </c>
    </row>
    <row r="85" spans="2:21" ht="13.15" customHeight="1">
      <c r="B85" s="278"/>
      <c r="C85" s="33"/>
      <c r="D85" s="610" t="s">
        <v>53</v>
      </c>
      <c r="E85" s="600" t="s">
        <v>206</v>
      </c>
      <c r="F85" s="601"/>
      <c r="G85" s="274">
        <f t="shared" si="11"/>
        <v>64</v>
      </c>
      <c r="H85" s="88">
        <v>2</v>
      </c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121"/>
      <c r="U85" s="269" t="s">
        <v>204</v>
      </c>
    </row>
    <row r="86" spans="2:21">
      <c r="B86" s="278"/>
      <c r="C86" s="33"/>
      <c r="D86" s="610"/>
      <c r="E86" s="98" t="s">
        <v>54</v>
      </c>
      <c r="F86" s="75"/>
      <c r="G86" s="274">
        <f t="shared" si="11"/>
        <v>65</v>
      </c>
      <c r="H86" s="88">
        <v>2</v>
      </c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121"/>
      <c r="U86" s="269" t="s">
        <v>205</v>
      </c>
    </row>
    <row r="87" spans="2:21">
      <c r="B87" s="278"/>
      <c r="C87" s="33"/>
      <c r="D87" s="610"/>
      <c r="E87" s="34" t="s">
        <v>134</v>
      </c>
      <c r="F87" s="38"/>
      <c r="G87" s="36">
        <f t="shared" si="11"/>
        <v>66</v>
      </c>
      <c r="H87" s="99">
        <f t="shared" ref="H87" si="14">SUM(H85:H86)</f>
        <v>4</v>
      </c>
      <c r="I87" s="99">
        <f t="shared" ref="I87:T87" si="15">SUM(I85:I86)</f>
        <v>0</v>
      </c>
      <c r="J87" s="99">
        <f t="shared" si="15"/>
        <v>0</v>
      </c>
      <c r="K87" s="99">
        <f t="shared" si="15"/>
        <v>0</v>
      </c>
      <c r="L87" s="99">
        <f t="shared" si="15"/>
        <v>0</v>
      </c>
      <c r="M87" s="99">
        <f t="shared" si="15"/>
        <v>0</v>
      </c>
      <c r="N87" s="99">
        <f t="shared" si="15"/>
        <v>0</v>
      </c>
      <c r="O87" s="99">
        <f t="shared" si="15"/>
        <v>0</v>
      </c>
      <c r="P87" s="99">
        <f t="shared" si="15"/>
        <v>0</v>
      </c>
      <c r="Q87" s="99">
        <f t="shared" si="15"/>
        <v>0</v>
      </c>
      <c r="R87" s="99">
        <f t="shared" si="15"/>
        <v>0</v>
      </c>
      <c r="S87" s="99">
        <f t="shared" si="15"/>
        <v>0</v>
      </c>
      <c r="T87" s="249">
        <f t="shared" si="15"/>
        <v>0</v>
      </c>
      <c r="U87" s="270" t="s">
        <v>170</v>
      </c>
    </row>
    <row r="88" spans="2:21">
      <c r="B88" s="278"/>
      <c r="C88" s="33"/>
      <c r="D88" s="610" t="s">
        <v>55</v>
      </c>
      <c r="E88" s="98" t="s">
        <v>199</v>
      </c>
      <c r="F88" s="38"/>
      <c r="G88" s="274">
        <f t="shared" ref="G88:G93" si="16">+G87+1</f>
        <v>67</v>
      </c>
      <c r="H88" s="88">
        <v>0</v>
      </c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121"/>
      <c r="U88" s="269" t="s">
        <v>208</v>
      </c>
    </row>
    <row r="89" spans="2:21">
      <c r="B89" s="278"/>
      <c r="C89" s="33"/>
      <c r="D89" s="610"/>
      <c r="E89" s="98" t="s">
        <v>56</v>
      </c>
      <c r="F89" s="38"/>
      <c r="G89" s="274">
        <f t="shared" si="16"/>
        <v>68</v>
      </c>
      <c r="H89" s="88">
        <v>0</v>
      </c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121"/>
      <c r="U89" s="269" t="s">
        <v>222</v>
      </c>
    </row>
    <row r="90" spans="2:21">
      <c r="B90" s="278"/>
      <c r="C90" s="33"/>
      <c r="D90" s="610"/>
      <c r="E90" s="98" t="s">
        <v>200</v>
      </c>
      <c r="F90" s="38"/>
      <c r="G90" s="274">
        <f t="shared" si="16"/>
        <v>69</v>
      </c>
      <c r="H90" s="88">
        <v>0</v>
      </c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121"/>
      <c r="U90" s="269" t="s">
        <v>223</v>
      </c>
    </row>
    <row r="91" spans="2:21">
      <c r="B91" s="278"/>
      <c r="C91" s="33"/>
      <c r="D91" s="607" t="s">
        <v>57</v>
      </c>
      <c r="E91" s="98" t="s">
        <v>106</v>
      </c>
      <c r="F91" s="38"/>
      <c r="G91" s="274">
        <f t="shared" si="16"/>
        <v>70</v>
      </c>
      <c r="H91" s="88">
        <v>1</v>
      </c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121"/>
      <c r="U91" s="269" t="s">
        <v>195</v>
      </c>
    </row>
    <row r="92" spans="2:21" s="102" customFormat="1">
      <c r="B92" s="278"/>
      <c r="C92" s="33"/>
      <c r="D92" s="608"/>
      <c r="E92" s="98" t="s">
        <v>58</v>
      </c>
      <c r="F92" s="191"/>
      <c r="G92" s="274">
        <f t="shared" si="16"/>
        <v>71</v>
      </c>
      <c r="H92" s="88">
        <v>0</v>
      </c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121"/>
      <c r="U92" s="269" t="s">
        <v>216</v>
      </c>
    </row>
    <row r="93" spans="2:21">
      <c r="B93" s="278"/>
      <c r="C93" s="33"/>
      <c r="D93" s="609"/>
      <c r="E93" s="98" t="s">
        <v>207</v>
      </c>
      <c r="F93" s="75"/>
      <c r="G93" s="274">
        <f t="shared" si="16"/>
        <v>72</v>
      </c>
      <c r="H93" s="88">
        <v>1</v>
      </c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121"/>
      <c r="U93" s="269" t="s">
        <v>217</v>
      </c>
    </row>
    <row r="94" spans="2:21">
      <c r="B94" s="278"/>
      <c r="C94" s="167"/>
      <c r="D94" s="100" t="s">
        <v>135</v>
      </c>
      <c r="E94" s="101"/>
      <c r="F94" s="38"/>
      <c r="G94" s="36">
        <f t="shared" si="11"/>
        <v>73</v>
      </c>
      <c r="H94" s="99">
        <f>SUM(H91:H93)</f>
        <v>2</v>
      </c>
      <c r="I94" s="99">
        <f t="shared" ref="I94:T94" si="17">SUM(I91:I93)</f>
        <v>0</v>
      </c>
      <c r="J94" s="99">
        <f t="shared" si="17"/>
        <v>0</v>
      </c>
      <c r="K94" s="99">
        <f t="shared" si="17"/>
        <v>0</v>
      </c>
      <c r="L94" s="99">
        <f t="shared" si="17"/>
        <v>0</v>
      </c>
      <c r="M94" s="99">
        <f t="shared" si="17"/>
        <v>0</v>
      </c>
      <c r="N94" s="99">
        <f t="shared" si="17"/>
        <v>0</v>
      </c>
      <c r="O94" s="99">
        <f t="shared" si="17"/>
        <v>0</v>
      </c>
      <c r="P94" s="99">
        <f t="shared" si="17"/>
        <v>0</v>
      </c>
      <c r="Q94" s="99">
        <f t="shared" si="17"/>
        <v>0</v>
      </c>
      <c r="R94" s="99">
        <f t="shared" si="17"/>
        <v>0</v>
      </c>
      <c r="S94" s="99">
        <f t="shared" si="17"/>
        <v>0</v>
      </c>
      <c r="T94" s="249">
        <f t="shared" si="17"/>
        <v>0</v>
      </c>
      <c r="U94" s="270" t="s">
        <v>218</v>
      </c>
    </row>
    <row r="95" spans="2:21">
      <c r="B95" s="278"/>
      <c r="C95" s="84"/>
      <c r="D95" s="602" t="s">
        <v>59</v>
      </c>
      <c r="E95" s="603"/>
      <c r="F95" s="604"/>
      <c r="G95" s="274">
        <f t="shared" si="11"/>
        <v>74</v>
      </c>
      <c r="H95" s="88">
        <v>0</v>
      </c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255"/>
      <c r="U95" s="269"/>
    </row>
    <row r="96" spans="2:21" ht="13.5" thickBot="1">
      <c r="B96" s="287"/>
      <c r="C96" s="103"/>
      <c r="D96" s="202" t="s">
        <v>136</v>
      </c>
      <c r="E96" s="104"/>
      <c r="F96" s="105"/>
      <c r="G96" s="106">
        <f t="shared" si="11"/>
        <v>75</v>
      </c>
      <c r="H96" s="107">
        <f>+H78+H84+H87+H94+H95</f>
        <v>24</v>
      </c>
      <c r="I96" s="107">
        <f t="shared" ref="I96:T96" si="18">+I78+I84+I87+I94+I95</f>
        <v>0</v>
      </c>
      <c r="J96" s="107">
        <f t="shared" si="18"/>
        <v>0</v>
      </c>
      <c r="K96" s="107">
        <f t="shared" si="18"/>
        <v>0</v>
      </c>
      <c r="L96" s="107">
        <f t="shared" si="18"/>
        <v>0</v>
      </c>
      <c r="M96" s="107">
        <f t="shared" si="18"/>
        <v>0</v>
      </c>
      <c r="N96" s="107">
        <f t="shared" si="18"/>
        <v>0</v>
      </c>
      <c r="O96" s="107">
        <f t="shared" si="18"/>
        <v>0</v>
      </c>
      <c r="P96" s="107">
        <f t="shared" si="18"/>
        <v>0</v>
      </c>
      <c r="Q96" s="107">
        <f t="shared" si="18"/>
        <v>0</v>
      </c>
      <c r="R96" s="107">
        <f t="shared" si="18"/>
        <v>0</v>
      </c>
      <c r="S96" s="107">
        <f t="shared" si="18"/>
        <v>0</v>
      </c>
      <c r="T96" s="257">
        <f t="shared" si="18"/>
        <v>0</v>
      </c>
      <c r="U96" s="269"/>
    </row>
    <row r="97" spans="1:23">
      <c r="B97" s="278">
        <v>5</v>
      </c>
      <c r="C97" s="33" t="s">
        <v>60</v>
      </c>
      <c r="D97" s="94"/>
      <c r="E97" s="207"/>
      <c r="F97" s="94"/>
      <c r="G97" s="13"/>
      <c r="H97" s="221"/>
      <c r="I97" s="108"/>
      <c r="J97" s="108"/>
      <c r="K97" s="108"/>
      <c r="L97" s="108"/>
      <c r="M97" s="108"/>
      <c r="N97" s="194"/>
      <c r="O97" s="108"/>
      <c r="P97" s="108"/>
      <c r="Q97" s="108"/>
      <c r="R97" s="108"/>
      <c r="S97" s="108"/>
      <c r="T97" s="108"/>
      <c r="U97" s="269"/>
    </row>
    <row r="98" spans="1:23">
      <c r="B98" s="278"/>
      <c r="C98" s="33"/>
      <c r="D98" s="94"/>
      <c r="E98" s="98" t="s">
        <v>61</v>
      </c>
      <c r="F98" s="191"/>
      <c r="G98" s="192">
        <f>+G96+1</f>
        <v>76</v>
      </c>
      <c r="H98" s="221">
        <v>0.85589999999999999</v>
      </c>
      <c r="I98" s="109"/>
      <c r="J98" s="109"/>
      <c r="K98" s="109"/>
      <c r="L98" s="109"/>
      <c r="M98" s="110"/>
      <c r="N98" s="111"/>
      <c r="O98" s="109"/>
      <c r="P98" s="112"/>
      <c r="Q98" s="112"/>
      <c r="R98" s="109"/>
      <c r="S98" s="109"/>
      <c r="T98" s="110"/>
      <c r="U98" s="269" t="s">
        <v>172</v>
      </c>
    </row>
    <row r="99" spans="1:23">
      <c r="B99" s="278"/>
      <c r="C99" s="33"/>
      <c r="D99" s="94"/>
      <c r="E99" s="98" t="s">
        <v>62</v>
      </c>
      <c r="F99" s="191"/>
      <c r="G99" s="192">
        <f>+G98+1</f>
        <v>77</v>
      </c>
      <c r="H99" s="221">
        <v>0.95420000000000005</v>
      </c>
      <c r="I99" s="109"/>
      <c r="J99" s="109"/>
      <c r="K99" s="109"/>
      <c r="L99" s="109"/>
      <c r="M99" s="110"/>
      <c r="N99" s="111"/>
      <c r="O99" s="109"/>
      <c r="P99" s="112"/>
      <c r="Q99" s="112"/>
      <c r="R99" s="109"/>
      <c r="S99" s="109"/>
      <c r="T99" s="110"/>
      <c r="U99" s="269" t="s">
        <v>173</v>
      </c>
    </row>
    <row r="100" spans="1:23" s="113" customFormat="1" ht="13.5" thickBot="1">
      <c r="A100" s="183"/>
      <c r="B100" s="288"/>
      <c r="C100" s="232"/>
      <c r="D100" s="233"/>
      <c r="E100" s="114" t="s">
        <v>63</v>
      </c>
      <c r="F100" s="115"/>
      <c r="G100" s="116">
        <f>+G99+1</f>
        <v>78</v>
      </c>
      <c r="H100" s="222">
        <v>10.6</v>
      </c>
      <c r="I100" s="117"/>
      <c r="J100" s="117"/>
      <c r="K100" s="117"/>
      <c r="L100" s="117"/>
      <c r="M100" s="118"/>
      <c r="N100" s="119"/>
      <c r="O100" s="117"/>
      <c r="P100" s="120"/>
      <c r="Q100" s="120"/>
      <c r="R100" s="117"/>
      <c r="S100" s="117"/>
      <c r="T100" s="118"/>
      <c r="U100" s="269" t="s">
        <v>174</v>
      </c>
    </row>
    <row r="101" spans="1:23" ht="17.25" customHeight="1" thickTop="1">
      <c r="B101" s="278">
        <v>6</v>
      </c>
      <c r="C101" s="33" t="s">
        <v>64</v>
      </c>
      <c r="D101" s="108"/>
      <c r="E101" s="207"/>
      <c r="F101" s="94"/>
      <c r="G101" s="13"/>
      <c r="H101" s="88"/>
      <c r="I101" s="108"/>
      <c r="J101" s="108"/>
      <c r="K101" s="108"/>
      <c r="L101" s="108"/>
      <c r="M101" s="108"/>
      <c r="N101" s="194"/>
      <c r="O101" s="108"/>
      <c r="P101" s="108"/>
      <c r="Q101" s="108"/>
      <c r="R101" s="108"/>
      <c r="S101" s="108"/>
      <c r="T101" s="108"/>
      <c r="U101" s="269"/>
    </row>
    <row r="102" spans="1:23">
      <c r="B102" s="278"/>
      <c r="C102" s="234"/>
      <c r="D102" s="94"/>
      <c r="E102" s="98" t="s">
        <v>65</v>
      </c>
      <c r="F102" s="75"/>
      <c r="G102" s="274">
        <f>+G100+1</f>
        <v>79</v>
      </c>
      <c r="H102" s="88">
        <v>119</v>
      </c>
      <c r="I102" s="87"/>
      <c r="J102" s="87"/>
      <c r="K102" s="87"/>
      <c r="L102" s="87"/>
      <c r="M102" s="121"/>
      <c r="N102" s="93"/>
      <c r="O102" s="87"/>
      <c r="P102" s="87"/>
      <c r="Q102" s="87"/>
      <c r="R102" s="87"/>
      <c r="S102" s="87"/>
      <c r="T102" s="121"/>
      <c r="U102" s="269" t="s">
        <v>148</v>
      </c>
      <c r="V102" s="122"/>
      <c r="W102" s="122"/>
    </row>
    <row r="103" spans="1:23">
      <c r="B103" s="278"/>
      <c r="C103" s="234"/>
      <c r="D103" s="94"/>
      <c r="E103" s="98" t="s">
        <v>66</v>
      </c>
      <c r="F103" s="75"/>
      <c r="G103" s="274">
        <f t="shared" ref="G103:G110" si="19">+G102+1</f>
        <v>80</v>
      </c>
      <c r="H103" s="88">
        <v>499</v>
      </c>
      <c r="I103" s="87"/>
      <c r="J103" s="87"/>
      <c r="K103" s="87"/>
      <c r="L103" s="87"/>
      <c r="M103" s="121"/>
      <c r="N103" s="93"/>
      <c r="O103" s="87"/>
      <c r="P103" s="87"/>
      <c r="Q103" s="87"/>
      <c r="R103" s="87"/>
      <c r="S103" s="87"/>
      <c r="T103" s="121"/>
      <c r="U103" s="269" t="s">
        <v>149</v>
      </c>
      <c r="V103" s="122"/>
      <c r="W103" s="122"/>
    </row>
    <row r="104" spans="1:23">
      <c r="B104" s="278"/>
      <c r="C104" s="234"/>
      <c r="D104" s="94"/>
      <c r="E104" s="98" t="s">
        <v>67</v>
      </c>
      <c r="F104" s="75"/>
      <c r="G104" s="274">
        <f t="shared" si="19"/>
        <v>81</v>
      </c>
      <c r="H104" s="88">
        <v>0</v>
      </c>
      <c r="I104" s="87"/>
      <c r="J104" s="87"/>
      <c r="K104" s="87"/>
      <c r="L104" s="87"/>
      <c r="M104" s="121"/>
      <c r="N104" s="93"/>
      <c r="O104" s="87"/>
      <c r="P104" s="87"/>
      <c r="Q104" s="87"/>
      <c r="R104" s="87"/>
      <c r="S104" s="87"/>
      <c r="T104" s="121"/>
      <c r="U104" s="269" t="s">
        <v>150</v>
      </c>
      <c r="V104" s="122"/>
      <c r="W104" s="122"/>
    </row>
    <row r="105" spans="1:23" s="37" customFormat="1">
      <c r="B105" s="278"/>
      <c r="C105" s="33"/>
      <c r="D105" s="123"/>
      <c r="E105" s="34" t="s">
        <v>132</v>
      </c>
      <c r="F105" s="38"/>
      <c r="G105" s="36">
        <f>+G104+1</f>
        <v>82</v>
      </c>
      <c r="H105" s="19">
        <f t="shared" ref="H105" si="20">+H102+H103+H104</f>
        <v>618</v>
      </c>
      <c r="I105" s="19">
        <f t="shared" ref="I105:T105" si="21">+I102+I103+I104</f>
        <v>0</v>
      </c>
      <c r="J105" s="19">
        <f t="shared" si="21"/>
        <v>0</v>
      </c>
      <c r="K105" s="19">
        <f t="shared" si="21"/>
        <v>0</v>
      </c>
      <c r="L105" s="19">
        <f t="shared" si="21"/>
        <v>0</v>
      </c>
      <c r="M105" s="19">
        <f t="shared" si="21"/>
        <v>0</v>
      </c>
      <c r="N105" s="19">
        <f t="shared" si="21"/>
        <v>0</v>
      </c>
      <c r="O105" s="19">
        <f t="shared" si="21"/>
        <v>0</v>
      </c>
      <c r="P105" s="19">
        <f t="shared" si="21"/>
        <v>0</v>
      </c>
      <c r="Q105" s="19">
        <f t="shared" si="21"/>
        <v>0</v>
      </c>
      <c r="R105" s="19">
        <f t="shared" si="21"/>
        <v>0</v>
      </c>
      <c r="S105" s="19">
        <f t="shared" si="21"/>
        <v>0</v>
      </c>
      <c r="T105" s="249">
        <f t="shared" si="21"/>
        <v>0</v>
      </c>
      <c r="U105" s="271" t="s">
        <v>171</v>
      </c>
      <c r="V105" s="124"/>
      <c r="W105" s="124"/>
    </row>
    <row r="106" spans="1:23">
      <c r="B106" s="278"/>
      <c r="C106" s="234"/>
      <c r="D106" s="94"/>
      <c r="E106" s="98" t="s">
        <v>68</v>
      </c>
      <c r="F106" s="75"/>
      <c r="G106" s="274">
        <f>+G105+1</f>
        <v>83</v>
      </c>
      <c r="H106" s="88">
        <v>90</v>
      </c>
      <c r="I106" s="87"/>
      <c r="J106" s="87"/>
      <c r="K106" s="87"/>
      <c r="L106" s="87"/>
      <c r="M106" s="121"/>
      <c r="N106" s="93"/>
      <c r="O106" s="87"/>
      <c r="P106" s="87"/>
      <c r="Q106" s="87"/>
      <c r="R106" s="87"/>
      <c r="S106" s="87"/>
      <c r="T106" s="121"/>
      <c r="U106" s="269" t="s">
        <v>151</v>
      </c>
    </row>
    <row r="107" spans="1:23">
      <c r="B107" s="278"/>
      <c r="C107" s="33" t="s">
        <v>69</v>
      </c>
      <c r="D107" s="108"/>
      <c r="E107" s="207"/>
      <c r="F107" s="94"/>
      <c r="G107" s="13"/>
      <c r="H107" s="223"/>
      <c r="I107" s="108"/>
      <c r="J107" s="108"/>
      <c r="K107" s="108"/>
      <c r="L107" s="108"/>
      <c r="M107" s="108"/>
      <c r="N107" s="125"/>
      <c r="O107" s="108"/>
      <c r="P107" s="108"/>
      <c r="Q107" s="71"/>
      <c r="R107" s="71"/>
      <c r="S107" s="108"/>
      <c r="T107" s="108"/>
      <c r="U107" s="269"/>
    </row>
    <row r="108" spans="1:23">
      <c r="B108" s="278"/>
      <c r="C108" s="33"/>
      <c r="D108" s="108"/>
      <c r="E108" s="34" t="s">
        <v>231</v>
      </c>
      <c r="F108" s="38"/>
      <c r="G108" s="36">
        <f>+G106+1</f>
        <v>84</v>
      </c>
      <c r="H108" s="19">
        <f t="shared" ref="H108" si="22">+H109+H110</f>
        <v>0</v>
      </c>
      <c r="I108" s="19">
        <f t="shared" ref="I108:T108" si="23">+I109+I110</f>
        <v>0</v>
      </c>
      <c r="J108" s="19">
        <f t="shared" si="23"/>
        <v>0</v>
      </c>
      <c r="K108" s="19">
        <f t="shared" si="23"/>
        <v>0</v>
      </c>
      <c r="L108" s="19">
        <f t="shared" si="23"/>
        <v>0</v>
      </c>
      <c r="M108" s="19">
        <f t="shared" si="23"/>
        <v>0</v>
      </c>
      <c r="N108" s="19">
        <f t="shared" si="23"/>
        <v>0</v>
      </c>
      <c r="O108" s="19">
        <f t="shared" si="23"/>
        <v>0</v>
      </c>
      <c r="P108" s="19">
        <f t="shared" si="23"/>
        <v>0</v>
      </c>
      <c r="Q108" s="19">
        <f t="shared" si="23"/>
        <v>0</v>
      </c>
      <c r="R108" s="19">
        <f t="shared" si="23"/>
        <v>0</v>
      </c>
      <c r="S108" s="19">
        <f t="shared" si="23"/>
        <v>0</v>
      </c>
      <c r="T108" s="249">
        <f t="shared" si="23"/>
        <v>0</v>
      </c>
      <c r="U108" s="269" t="s">
        <v>152</v>
      </c>
    </row>
    <row r="109" spans="1:23">
      <c r="B109" s="278"/>
      <c r="C109" s="234"/>
      <c r="D109" s="94"/>
      <c r="E109" s="127" t="s">
        <v>70</v>
      </c>
      <c r="F109" s="75"/>
      <c r="G109" s="274">
        <f t="shared" si="19"/>
        <v>85</v>
      </c>
      <c r="H109" s="88">
        <v>0</v>
      </c>
      <c r="I109" s="87"/>
      <c r="J109" s="87"/>
      <c r="K109" s="87"/>
      <c r="L109" s="87"/>
      <c r="M109" s="121"/>
      <c r="N109" s="93"/>
      <c r="O109" s="87"/>
      <c r="P109" s="87"/>
      <c r="Q109" s="87"/>
      <c r="R109" s="87"/>
      <c r="S109" s="87"/>
      <c r="T109" s="121"/>
      <c r="U109" s="269" t="s">
        <v>153</v>
      </c>
    </row>
    <row r="110" spans="1:23">
      <c r="B110" s="278"/>
      <c r="C110" s="234"/>
      <c r="D110" s="94"/>
      <c r="E110" s="127" t="s">
        <v>71</v>
      </c>
      <c r="F110" s="75"/>
      <c r="G110" s="274">
        <f t="shared" si="19"/>
        <v>86</v>
      </c>
      <c r="H110" s="88">
        <v>0</v>
      </c>
      <c r="I110" s="87"/>
      <c r="J110" s="87"/>
      <c r="K110" s="87"/>
      <c r="L110" s="87"/>
      <c r="M110" s="121"/>
      <c r="N110" s="93"/>
      <c r="O110" s="87"/>
      <c r="P110" s="87"/>
      <c r="Q110" s="87"/>
      <c r="R110" s="87"/>
      <c r="S110" s="87"/>
      <c r="T110" s="121"/>
      <c r="U110" s="269" t="s">
        <v>154</v>
      </c>
    </row>
    <row r="111" spans="1:23">
      <c r="B111" s="278"/>
      <c r="C111" s="235"/>
      <c r="D111" s="144"/>
      <c r="E111" s="126" t="s">
        <v>72</v>
      </c>
      <c r="F111" s="128"/>
      <c r="G111" s="36">
        <v>87</v>
      </c>
      <c r="H111" s="342">
        <v>0</v>
      </c>
      <c r="I111" s="87"/>
      <c r="J111" s="87"/>
      <c r="K111" s="87"/>
      <c r="L111" s="87"/>
      <c r="M111" s="121"/>
      <c r="N111" s="93"/>
      <c r="O111" s="87"/>
      <c r="P111" s="87"/>
      <c r="Q111" s="87"/>
      <c r="R111" s="87"/>
      <c r="S111" s="87"/>
      <c r="T111" s="121"/>
      <c r="U111" s="269" t="s">
        <v>155</v>
      </c>
    </row>
    <row r="112" spans="1:23">
      <c r="B112" s="278">
        <v>7</v>
      </c>
      <c r="C112" s="33" t="s">
        <v>73</v>
      </c>
      <c r="D112" s="94"/>
      <c r="E112" s="207"/>
      <c r="F112" s="94"/>
      <c r="G112" s="13"/>
      <c r="H112" s="93"/>
      <c r="I112" s="129"/>
      <c r="J112" s="129"/>
      <c r="K112" s="129"/>
      <c r="L112" s="71"/>
      <c r="M112" s="71"/>
      <c r="N112" s="130"/>
      <c r="O112" s="71"/>
      <c r="P112" s="71"/>
      <c r="Q112" s="131"/>
      <c r="R112" s="129"/>
      <c r="S112" s="129"/>
      <c r="T112" s="129"/>
      <c r="U112" s="269"/>
    </row>
    <row r="113" spans="2:21">
      <c r="B113" s="278"/>
      <c r="C113" s="33"/>
      <c r="D113" s="94"/>
      <c r="E113" s="74" t="s">
        <v>74</v>
      </c>
      <c r="F113" s="75"/>
      <c r="G113" s="274">
        <f>+G111+1</f>
        <v>88</v>
      </c>
      <c r="H113" s="93">
        <v>1473</v>
      </c>
      <c r="I113" s="93"/>
      <c r="J113" s="93"/>
      <c r="K113" s="93"/>
      <c r="L113" s="93"/>
      <c r="M113" s="132"/>
      <c r="N113" s="93"/>
      <c r="O113" s="93"/>
      <c r="P113" s="93"/>
      <c r="Q113" s="93"/>
      <c r="R113" s="79"/>
      <c r="S113" s="79"/>
      <c r="T113" s="255"/>
      <c r="U113" s="269" t="s">
        <v>141</v>
      </c>
    </row>
    <row r="114" spans="2:21">
      <c r="B114" s="278"/>
      <c r="C114" s="33"/>
      <c r="D114" s="94"/>
      <c r="E114" s="74" t="s">
        <v>75</v>
      </c>
      <c r="F114" s="75"/>
      <c r="G114" s="274">
        <f>+G113+1</f>
        <v>89</v>
      </c>
      <c r="H114" s="93">
        <v>797</v>
      </c>
      <c r="I114" s="93"/>
      <c r="J114" s="93"/>
      <c r="K114" s="93"/>
      <c r="L114" s="93"/>
      <c r="M114" s="93"/>
      <c r="N114" s="93"/>
      <c r="O114" s="93"/>
      <c r="P114" s="93"/>
      <c r="Q114" s="93"/>
      <c r="R114" s="79"/>
      <c r="S114" s="79"/>
      <c r="T114" s="255"/>
      <c r="U114" s="269" t="s">
        <v>142</v>
      </c>
    </row>
    <row r="115" spans="2:21" ht="13.5" thickBot="1">
      <c r="B115" s="287"/>
      <c r="C115" s="236"/>
      <c r="D115" s="237"/>
      <c r="E115" s="133" t="s">
        <v>76</v>
      </c>
      <c r="F115" s="134"/>
      <c r="G115" s="135">
        <f>+G114+1</f>
        <v>90</v>
      </c>
      <c r="H115" s="136">
        <v>546</v>
      </c>
      <c r="I115" s="137"/>
      <c r="J115" s="137"/>
      <c r="K115" s="137"/>
      <c r="L115" s="137"/>
      <c r="M115" s="137"/>
      <c r="N115" s="137"/>
      <c r="O115" s="137"/>
      <c r="P115" s="137"/>
      <c r="Q115" s="137"/>
      <c r="R115" s="138"/>
      <c r="S115" s="138"/>
      <c r="T115" s="258"/>
      <c r="U115" s="269" t="s">
        <v>143</v>
      </c>
    </row>
    <row r="116" spans="2:21" s="102" customFormat="1">
      <c r="B116" s="289"/>
      <c r="C116" s="290"/>
      <c r="D116" s="139"/>
      <c r="E116" s="140"/>
      <c r="F116" s="139"/>
      <c r="G116" s="14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31"/>
    </row>
    <row r="117" spans="2:21" s="102" customFormat="1">
      <c r="B117" s="278">
        <v>8</v>
      </c>
      <c r="C117" s="33" t="s">
        <v>107</v>
      </c>
      <c r="D117" s="94"/>
      <c r="E117" s="94"/>
      <c r="F117" s="211"/>
      <c r="G117" s="212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31"/>
    </row>
    <row r="118" spans="2:21" s="102" customFormat="1">
      <c r="B118" s="278"/>
      <c r="C118" s="33"/>
      <c r="D118" s="94"/>
      <c r="E118" s="213" t="s">
        <v>108</v>
      </c>
      <c r="F118" s="38"/>
      <c r="G118" s="274">
        <v>91</v>
      </c>
      <c r="H118" s="93">
        <v>100</v>
      </c>
      <c r="I118" s="188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259"/>
      <c r="U118" s="31" t="s">
        <v>175</v>
      </c>
    </row>
    <row r="119" spans="2:21" s="102" customFormat="1">
      <c r="B119" s="278"/>
      <c r="C119" s="33"/>
      <c r="D119" s="94"/>
      <c r="E119" s="213" t="s">
        <v>77</v>
      </c>
      <c r="F119" s="75"/>
      <c r="G119" s="274">
        <f t="shared" ref="G119:G124" si="24">+G118+1</f>
        <v>92</v>
      </c>
      <c r="H119" s="93">
        <v>90</v>
      </c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255"/>
      <c r="U119" s="31" t="s">
        <v>235</v>
      </c>
    </row>
    <row r="120" spans="2:21" s="102" customFormat="1">
      <c r="B120" s="278"/>
      <c r="C120" s="33"/>
      <c r="D120" s="94"/>
      <c r="E120" s="213" t="s">
        <v>109</v>
      </c>
      <c r="F120" s="75"/>
      <c r="G120" s="274">
        <f t="shared" si="24"/>
        <v>93</v>
      </c>
      <c r="H120" s="93">
        <v>1</v>
      </c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255"/>
      <c r="U120" s="31" t="s">
        <v>156</v>
      </c>
    </row>
    <row r="121" spans="2:21" s="102" customFormat="1">
      <c r="B121" s="278"/>
      <c r="C121" s="33"/>
      <c r="D121" s="94"/>
      <c r="E121" s="213" t="s">
        <v>110</v>
      </c>
      <c r="F121" s="75"/>
      <c r="G121" s="274">
        <f t="shared" si="24"/>
        <v>94</v>
      </c>
      <c r="H121" s="93">
        <v>1</v>
      </c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255"/>
      <c r="U121" s="31" t="s">
        <v>176</v>
      </c>
    </row>
    <row r="122" spans="2:21" s="102" customFormat="1">
      <c r="B122" s="278"/>
      <c r="C122" s="33"/>
      <c r="D122" s="94"/>
      <c r="E122" s="213" t="s">
        <v>111</v>
      </c>
      <c r="F122" s="75"/>
      <c r="G122" s="274">
        <f t="shared" si="24"/>
        <v>95</v>
      </c>
      <c r="H122" s="93">
        <v>1</v>
      </c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255"/>
      <c r="U122" s="31" t="s">
        <v>177</v>
      </c>
    </row>
    <row r="123" spans="2:21" s="102" customFormat="1">
      <c r="B123" s="278"/>
      <c r="C123" s="230"/>
      <c r="D123" s="94"/>
      <c r="E123" s="213" t="s">
        <v>78</v>
      </c>
      <c r="F123" s="38"/>
      <c r="G123" s="274">
        <f t="shared" si="24"/>
        <v>96</v>
      </c>
      <c r="H123" s="93">
        <v>1</v>
      </c>
      <c r="I123" s="188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259"/>
      <c r="U123" s="31" t="s">
        <v>178</v>
      </c>
    </row>
    <row r="124" spans="2:21" s="102" customFormat="1">
      <c r="B124" s="291"/>
      <c r="C124" s="142"/>
      <c r="D124" s="144"/>
      <c r="E124" s="275" t="s">
        <v>226</v>
      </c>
      <c r="F124" s="75"/>
      <c r="G124" s="274">
        <f t="shared" si="24"/>
        <v>97</v>
      </c>
      <c r="H124" s="242">
        <f>1-((H120/H119)+(H121/H119)+(H122/H119))</f>
        <v>0.96666666666666667</v>
      </c>
      <c r="I124" s="242" t="e">
        <f t="shared" ref="I124:T124" si="25">1-((I120/I119)+(I121/I119)+(I122/I119))</f>
        <v>#DIV/0!</v>
      </c>
      <c r="J124" s="242" t="e">
        <f t="shared" si="25"/>
        <v>#DIV/0!</v>
      </c>
      <c r="K124" s="242" t="e">
        <f t="shared" si="25"/>
        <v>#DIV/0!</v>
      </c>
      <c r="L124" s="242" t="e">
        <f t="shared" si="25"/>
        <v>#DIV/0!</v>
      </c>
      <c r="M124" s="242" t="e">
        <f t="shared" si="25"/>
        <v>#DIV/0!</v>
      </c>
      <c r="N124" s="242" t="e">
        <f t="shared" si="25"/>
        <v>#DIV/0!</v>
      </c>
      <c r="O124" s="242" t="e">
        <f t="shared" si="25"/>
        <v>#DIV/0!</v>
      </c>
      <c r="P124" s="242" t="e">
        <f t="shared" si="25"/>
        <v>#DIV/0!</v>
      </c>
      <c r="Q124" s="242" t="e">
        <f t="shared" si="25"/>
        <v>#DIV/0!</v>
      </c>
      <c r="R124" s="242" t="e">
        <f t="shared" si="25"/>
        <v>#DIV/0!</v>
      </c>
      <c r="S124" s="242" t="e">
        <f t="shared" si="25"/>
        <v>#DIV/0!</v>
      </c>
      <c r="T124" s="260" t="e">
        <f t="shared" si="25"/>
        <v>#DIV/0!</v>
      </c>
      <c r="U124" s="343"/>
    </row>
    <row r="125" spans="2:21" s="102" customFormat="1">
      <c r="B125" s="278">
        <v>9</v>
      </c>
      <c r="C125" s="238" t="s">
        <v>79</v>
      </c>
      <c r="D125" s="148"/>
      <c r="E125" s="605"/>
      <c r="F125" s="606"/>
      <c r="G125" s="274"/>
      <c r="H125" s="226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343" t="s">
        <v>179</v>
      </c>
    </row>
    <row r="126" spans="2:21" s="102" customFormat="1">
      <c r="B126" s="278"/>
      <c r="C126" s="33"/>
      <c r="D126" s="33"/>
      <c r="E126" s="86" t="s">
        <v>89</v>
      </c>
      <c r="F126" s="214"/>
      <c r="G126" s="274">
        <v>98</v>
      </c>
      <c r="H126" s="195">
        <v>4.0509259259259259E-2</v>
      </c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226"/>
      <c r="U126" s="31" t="s">
        <v>221</v>
      </c>
    </row>
    <row r="127" spans="2:21" s="102" customFormat="1">
      <c r="B127" s="278"/>
      <c r="C127" s="33"/>
      <c r="D127" s="94"/>
      <c r="E127" s="86" t="s">
        <v>90</v>
      </c>
      <c r="F127" s="215"/>
      <c r="G127" s="274">
        <v>99</v>
      </c>
      <c r="H127" s="195">
        <v>8.7060185185185171E-2</v>
      </c>
      <c r="I127" s="204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261"/>
      <c r="U127" s="31" t="s">
        <v>180</v>
      </c>
    </row>
    <row r="128" spans="2:21" s="102" customFormat="1">
      <c r="B128" s="278"/>
      <c r="C128" s="33"/>
      <c r="D128" s="94"/>
      <c r="E128" s="86" t="s">
        <v>91</v>
      </c>
      <c r="F128" s="215"/>
      <c r="G128" s="274">
        <f>+G127+1</f>
        <v>100</v>
      </c>
      <c r="H128" s="195">
        <v>0.11265046296296295</v>
      </c>
      <c r="I128" s="195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262"/>
      <c r="U128" s="31" t="s">
        <v>181</v>
      </c>
    </row>
    <row r="129" spans="2:21" s="102" customFormat="1">
      <c r="B129" s="241"/>
      <c r="C129" s="33"/>
      <c r="D129" s="94"/>
      <c r="E129" s="86" t="s">
        <v>92</v>
      </c>
      <c r="F129" s="215"/>
      <c r="G129" s="274">
        <f>+G128+1</f>
        <v>101</v>
      </c>
      <c r="H129" s="195">
        <v>9.6145833333333333E-2</v>
      </c>
      <c r="I129" s="195"/>
      <c r="J129" s="145"/>
      <c r="K129" s="145"/>
      <c r="L129" s="145"/>
      <c r="M129" s="145"/>
      <c r="N129" s="145"/>
      <c r="O129" s="145"/>
      <c r="P129" s="145"/>
      <c r="Q129" s="145"/>
      <c r="R129" s="145"/>
      <c r="S129" s="145"/>
      <c r="T129" s="263"/>
      <c r="U129" s="31" t="s">
        <v>182</v>
      </c>
    </row>
    <row r="130" spans="2:21" s="102" customFormat="1">
      <c r="B130" s="49">
        <v>10</v>
      </c>
      <c r="C130" s="238" t="s">
        <v>80</v>
      </c>
      <c r="D130" s="148"/>
      <c r="E130" s="148"/>
      <c r="F130" s="216"/>
      <c r="G130" s="274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264"/>
      <c r="U130" s="31"/>
    </row>
    <row r="131" spans="2:21" s="102" customFormat="1">
      <c r="B131" s="278"/>
      <c r="C131" s="230"/>
      <c r="D131" s="186"/>
      <c r="E131" s="50" t="s">
        <v>157</v>
      </c>
      <c r="F131" s="215"/>
      <c r="G131" s="150">
        <v>102</v>
      </c>
      <c r="H131" s="185">
        <v>766</v>
      </c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264"/>
      <c r="U131" s="31" t="s">
        <v>224</v>
      </c>
    </row>
    <row r="132" spans="2:21" s="102" customFormat="1">
      <c r="B132" s="278"/>
      <c r="C132" s="230"/>
      <c r="D132" s="186"/>
      <c r="E132" s="50" t="s">
        <v>124</v>
      </c>
      <c r="F132" s="215"/>
      <c r="G132" s="150">
        <v>103</v>
      </c>
      <c r="H132" s="185">
        <v>160</v>
      </c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264"/>
      <c r="U132" s="31" t="s">
        <v>225</v>
      </c>
    </row>
    <row r="133" spans="2:21" s="102" customFormat="1">
      <c r="B133" s="241"/>
      <c r="C133" s="142"/>
      <c r="D133" s="144"/>
      <c r="E133" s="50" t="s">
        <v>248</v>
      </c>
      <c r="F133" s="294"/>
      <c r="G133" s="150">
        <v>104</v>
      </c>
      <c r="H133" s="242">
        <f>+H132/(H22-H10-H13-H16)</f>
        <v>0.94674556213017746</v>
      </c>
      <c r="I133" s="20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264"/>
      <c r="U133" s="31" t="s">
        <v>186</v>
      </c>
    </row>
    <row r="134" spans="2:21" s="102" customFormat="1">
      <c r="B134" s="278">
        <v>11</v>
      </c>
      <c r="C134" s="33" t="s">
        <v>112</v>
      </c>
      <c r="D134" s="94"/>
      <c r="E134" s="94"/>
      <c r="F134" s="217"/>
      <c r="G134" s="150"/>
      <c r="H134" s="152"/>
      <c r="I134" s="152"/>
      <c r="J134" s="152"/>
      <c r="K134" s="152"/>
      <c r="L134" s="152"/>
      <c r="M134" s="152"/>
      <c r="N134" s="152"/>
      <c r="O134" s="152"/>
      <c r="P134" s="152"/>
      <c r="Q134" s="152"/>
      <c r="R134" s="152"/>
      <c r="S134" s="152"/>
      <c r="T134" s="152"/>
      <c r="U134" s="31"/>
    </row>
    <row r="135" spans="2:21" s="102" customFormat="1">
      <c r="B135" s="278"/>
      <c r="C135" s="33"/>
      <c r="D135" s="94"/>
      <c r="E135" s="31" t="s">
        <v>81</v>
      </c>
      <c r="F135" s="218"/>
      <c r="G135" s="150">
        <v>105</v>
      </c>
      <c r="H135" s="153">
        <v>696</v>
      </c>
      <c r="I135" s="153"/>
      <c r="J135" s="153"/>
      <c r="K135" s="153"/>
      <c r="L135" s="154"/>
      <c r="M135" s="155"/>
      <c r="N135" s="153"/>
      <c r="O135" s="155"/>
      <c r="P135" s="155"/>
      <c r="Q135" s="155"/>
      <c r="R135" s="155"/>
      <c r="S135" s="155"/>
      <c r="T135" s="265"/>
      <c r="U135" s="31" t="s">
        <v>158</v>
      </c>
    </row>
    <row r="136" spans="2:21" s="102" customFormat="1">
      <c r="B136" s="278"/>
      <c r="C136" s="33"/>
      <c r="D136" s="94"/>
      <c r="E136" s="31" t="s">
        <v>196</v>
      </c>
      <c r="F136" s="218"/>
      <c r="G136" s="274">
        <f t="shared" ref="G136:G142" si="26">+G135+1</f>
        <v>106</v>
      </c>
      <c r="H136" s="153">
        <v>811</v>
      </c>
      <c r="I136" s="153"/>
      <c r="J136" s="153"/>
      <c r="K136" s="153"/>
      <c r="L136" s="154"/>
      <c r="M136" s="155"/>
      <c r="N136" s="153"/>
      <c r="O136" s="155"/>
      <c r="P136" s="155"/>
      <c r="Q136" s="155"/>
      <c r="R136" s="155"/>
      <c r="S136" s="155"/>
      <c r="T136" s="265"/>
      <c r="U136" s="31" t="s">
        <v>161</v>
      </c>
    </row>
    <row r="137" spans="2:21" s="102" customFormat="1">
      <c r="B137" s="278"/>
      <c r="C137" s="33"/>
      <c r="D137" s="94"/>
      <c r="E137" s="86" t="s">
        <v>83</v>
      </c>
      <c r="F137" s="75"/>
      <c r="G137" s="274">
        <f t="shared" si="26"/>
        <v>107</v>
      </c>
      <c r="H137" s="153">
        <v>402</v>
      </c>
      <c r="I137" s="153"/>
      <c r="J137" s="93"/>
      <c r="K137" s="93"/>
      <c r="L137" s="149"/>
      <c r="M137" s="149"/>
      <c r="N137" s="149"/>
      <c r="O137" s="149"/>
      <c r="P137" s="149"/>
      <c r="Q137" s="149"/>
      <c r="R137" s="149"/>
      <c r="S137" s="149"/>
      <c r="T137" s="266"/>
      <c r="U137" s="31" t="s">
        <v>159</v>
      </c>
    </row>
    <row r="138" spans="2:21" s="102" customFormat="1">
      <c r="B138" s="278"/>
      <c r="C138" s="33"/>
      <c r="D138" s="94"/>
      <c r="E138" s="86" t="s">
        <v>82</v>
      </c>
      <c r="F138" s="50"/>
      <c r="G138" s="274">
        <f t="shared" si="26"/>
        <v>108</v>
      </c>
      <c r="H138" s="153">
        <v>391</v>
      </c>
      <c r="I138" s="153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262"/>
      <c r="U138" s="31" t="s">
        <v>160</v>
      </c>
    </row>
    <row r="139" spans="2:21" s="102" customFormat="1">
      <c r="B139" s="292"/>
      <c r="C139" s="239"/>
      <c r="D139" s="186"/>
      <c r="E139" s="86" t="s">
        <v>197</v>
      </c>
      <c r="F139" s="31"/>
      <c r="G139" s="274">
        <f t="shared" si="26"/>
        <v>109</v>
      </c>
      <c r="H139" s="153">
        <v>176</v>
      </c>
      <c r="I139" s="93"/>
      <c r="J139" s="184"/>
      <c r="K139" s="184"/>
      <c r="L139" s="184"/>
      <c r="M139" s="184"/>
      <c r="N139" s="184"/>
      <c r="O139" s="184"/>
      <c r="P139" s="184"/>
      <c r="Q139" s="184"/>
      <c r="R139" s="184"/>
      <c r="S139" s="184"/>
      <c r="T139" s="151"/>
      <c r="U139" s="31" t="s">
        <v>162</v>
      </c>
    </row>
    <row r="140" spans="2:21" s="102" customFormat="1">
      <c r="B140" s="279"/>
      <c r="C140" s="156"/>
      <c r="D140" s="94"/>
      <c r="E140" s="86" t="s">
        <v>240</v>
      </c>
      <c r="F140" s="75"/>
      <c r="G140" s="274">
        <f t="shared" si="26"/>
        <v>110</v>
      </c>
      <c r="H140" s="203">
        <f>+H138/H137</f>
        <v>0.97263681592039797</v>
      </c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266"/>
      <c r="U140" s="31" t="s">
        <v>163</v>
      </c>
    </row>
    <row r="141" spans="2:21" s="102" customFormat="1">
      <c r="B141" s="279"/>
      <c r="C141" s="156"/>
      <c r="D141" s="186"/>
      <c r="E141" s="31" t="s">
        <v>238</v>
      </c>
      <c r="F141" s="75"/>
      <c r="G141" s="274">
        <f t="shared" si="26"/>
        <v>111</v>
      </c>
      <c r="H141" s="203">
        <f>+H139/H136</f>
        <v>0.21701602959309493</v>
      </c>
      <c r="I141" s="203" t="e">
        <f t="shared" ref="I141:T141" si="27">+I139/I136</f>
        <v>#DIV/0!</v>
      </c>
      <c r="J141" s="203" t="e">
        <f t="shared" si="27"/>
        <v>#DIV/0!</v>
      </c>
      <c r="K141" s="203" t="e">
        <f t="shared" si="27"/>
        <v>#DIV/0!</v>
      </c>
      <c r="L141" s="203" t="e">
        <f t="shared" si="27"/>
        <v>#DIV/0!</v>
      </c>
      <c r="M141" s="203" t="e">
        <f t="shared" si="27"/>
        <v>#DIV/0!</v>
      </c>
      <c r="N141" s="203" t="e">
        <f t="shared" si="27"/>
        <v>#DIV/0!</v>
      </c>
      <c r="O141" s="203" t="e">
        <f t="shared" si="27"/>
        <v>#DIV/0!</v>
      </c>
      <c r="P141" s="203" t="e">
        <f t="shared" si="27"/>
        <v>#DIV/0!</v>
      </c>
      <c r="Q141" s="203" t="e">
        <f t="shared" si="27"/>
        <v>#DIV/0!</v>
      </c>
      <c r="R141" s="203" t="e">
        <f t="shared" si="27"/>
        <v>#DIV/0!</v>
      </c>
      <c r="S141" s="203" t="e">
        <f t="shared" si="27"/>
        <v>#DIV/0!</v>
      </c>
      <c r="T141" s="267" t="e">
        <f t="shared" si="27"/>
        <v>#DIV/0!</v>
      </c>
      <c r="U141" s="31" t="s">
        <v>184</v>
      </c>
    </row>
    <row r="142" spans="2:21" s="102" customFormat="1">
      <c r="B142" s="279"/>
      <c r="C142" s="142"/>
      <c r="D142" s="143"/>
      <c r="E142" s="31" t="s">
        <v>239</v>
      </c>
      <c r="F142" s="75"/>
      <c r="G142" s="274">
        <f t="shared" si="26"/>
        <v>112</v>
      </c>
      <c r="H142" s="203">
        <f>+H139/H36</f>
        <v>0.3613963039014374</v>
      </c>
      <c r="I142" s="203" t="e">
        <f t="shared" ref="I142:T142" si="28">+I139/I36</f>
        <v>#DIV/0!</v>
      </c>
      <c r="J142" s="203" t="e">
        <f t="shared" si="28"/>
        <v>#DIV/0!</v>
      </c>
      <c r="K142" s="203" t="e">
        <f t="shared" si="28"/>
        <v>#DIV/0!</v>
      </c>
      <c r="L142" s="203" t="e">
        <f t="shared" si="28"/>
        <v>#DIV/0!</v>
      </c>
      <c r="M142" s="203" t="e">
        <f t="shared" si="28"/>
        <v>#DIV/0!</v>
      </c>
      <c r="N142" s="203" t="e">
        <f t="shared" si="28"/>
        <v>#DIV/0!</v>
      </c>
      <c r="O142" s="203" t="e">
        <f t="shared" si="28"/>
        <v>#DIV/0!</v>
      </c>
      <c r="P142" s="203" t="e">
        <f t="shared" si="28"/>
        <v>#DIV/0!</v>
      </c>
      <c r="Q142" s="203" t="e">
        <f t="shared" si="28"/>
        <v>#DIV/0!</v>
      </c>
      <c r="R142" s="203" t="e">
        <f t="shared" si="28"/>
        <v>#DIV/0!</v>
      </c>
      <c r="S142" s="203" t="e">
        <f t="shared" si="28"/>
        <v>#DIV/0!</v>
      </c>
      <c r="T142" s="267" t="e">
        <f t="shared" si="28"/>
        <v>#DIV/0!</v>
      </c>
      <c r="U142" s="31" t="s">
        <v>183</v>
      </c>
    </row>
    <row r="143" spans="2:21">
      <c r="B143" s="293">
        <v>12</v>
      </c>
      <c r="C143" s="240" t="s">
        <v>88</v>
      </c>
      <c r="D143" s="157"/>
      <c r="E143" s="157"/>
      <c r="F143" s="158"/>
      <c r="G143" s="159"/>
      <c r="H143" s="227"/>
      <c r="I143" s="160"/>
      <c r="J143" s="160"/>
      <c r="K143" s="160"/>
      <c r="L143" s="160"/>
      <c r="M143" s="160"/>
      <c r="N143" s="160"/>
      <c r="O143" s="160"/>
      <c r="P143" s="160"/>
      <c r="Q143" s="160"/>
      <c r="R143" s="160"/>
      <c r="S143" s="160"/>
      <c r="T143" s="160"/>
      <c r="U143" s="269"/>
    </row>
    <row r="144" spans="2:21">
      <c r="B144" s="241"/>
      <c r="C144" s="142"/>
      <c r="D144" s="143"/>
      <c r="E144" s="86" t="s">
        <v>84</v>
      </c>
      <c r="F144" s="75"/>
      <c r="G144" s="274">
        <v>113</v>
      </c>
      <c r="H144" s="161">
        <v>150000</v>
      </c>
      <c r="I144" s="161"/>
      <c r="J144" s="161"/>
      <c r="K144" s="161"/>
      <c r="L144" s="111"/>
      <c r="M144" s="111"/>
      <c r="N144" s="111"/>
      <c r="O144" s="111"/>
      <c r="P144" s="162"/>
      <c r="Q144" s="163"/>
      <c r="R144" s="164"/>
      <c r="S144" s="164"/>
      <c r="T144" s="268"/>
      <c r="U144" s="269" t="s">
        <v>237</v>
      </c>
    </row>
    <row r="145" spans="1:22">
      <c r="B145" s="310">
        <v>13</v>
      </c>
      <c r="C145" s="311" t="s">
        <v>236</v>
      </c>
      <c r="D145" s="312"/>
      <c r="E145" s="312"/>
      <c r="F145" s="158"/>
      <c r="G145" s="302">
        <v>114</v>
      </c>
      <c r="H145" s="314">
        <v>1.02</v>
      </c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  <c r="T145" s="313"/>
      <c r="U145" s="269" t="s">
        <v>241</v>
      </c>
    </row>
    <row r="146" spans="1:22">
      <c r="B146" s="293">
        <v>14</v>
      </c>
      <c r="C146" s="316" t="s">
        <v>242</v>
      </c>
      <c r="D146" s="317"/>
      <c r="E146" s="317"/>
      <c r="F146" s="317"/>
      <c r="G146" s="315"/>
      <c r="H146" s="314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  <c r="T146" s="313"/>
      <c r="U146" s="269"/>
    </row>
    <row r="147" spans="1:22">
      <c r="A147" s="186"/>
      <c r="B147" s="278"/>
      <c r="C147" s="33"/>
      <c r="D147" s="186"/>
      <c r="E147" s="148" t="s">
        <v>244</v>
      </c>
      <c r="F147" s="75"/>
      <c r="G147" s="321">
        <v>115</v>
      </c>
      <c r="H147" s="191" t="s">
        <v>247</v>
      </c>
      <c r="U147" s="2" t="s">
        <v>245</v>
      </c>
      <c r="V147" s="320"/>
    </row>
    <row r="148" spans="1:22">
      <c r="A148" s="186"/>
      <c r="B148" s="278"/>
      <c r="C148" s="33"/>
      <c r="D148" s="186"/>
      <c r="E148" s="86" t="s">
        <v>243</v>
      </c>
      <c r="F148" s="144"/>
      <c r="G148" s="315">
        <v>116</v>
      </c>
      <c r="H148" s="325">
        <v>0.25</v>
      </c>
      <c r="U148" s="319" t="s">
        <v>246</v>
      </c>
      <c r="V148" s="320"/>
    </row>
    <row r="149" spans="1:22">
      <c r="A149" s="94"/>
      <c r="B149" s="278"/>
      <c r="C149" s="33"/>
      <c r="D149" s="186"/>
      <c r="E149" s="331" t="s">
        <v>283</v>
      </c>
      <c r="F149" s="332"/>
      <c r="G149" s="334">
        <v>117</v>
      </c>
      <c r="H149" s="335" t="s">
        <v>247</v>
      </c>
      <c r="I149" s="336"/>
      <c r="J149" s="336"/>
      <c r="K149" s="336"/>
      <c r="L149" s="337"/>
      <c r="M149" s="337"/>
      <c r="N149" s="337"/>
      <c r="O149" s="337"/>
      <c r="P149" s="337"/>
      <c r="Q149" s="337"/>
      <c r="R149" s="336"/>
      <c r="S149" s="336"/>
      <c r="T149" s="336"/>
      <c r="U149" s="331" t="s">
        <v>321</v>
      </c>
      <c r="V149" s="330"/>
    </row>
    <row r="150" spans="1:22">
      <c r="A150" s="94"/>
      <c r="B150" s="278"/>
      <c r="C150" s="33"/>
      <c r="D150" s="186"/>
      <c r="E150" s="331" t="s">
        <v>284</v>
      </c>
      <c r="F150" s="332"/>
      <c r="G150" s="334">
        <v>118</v>
      </c>
      <c r="H150" s="335" t="s">
        <v>247</v>
      </c>
      <c r="I150" s="336"/>
      <c r="J150" s="336"/>
      <c r="K150" s="336"/>
      <c r="L150" s="337"/>
      <c r="M150" s="337"/>
      <c r="N150" s="337"/>
      <c r="O150" s="337"/>
      <c r="P150" s="337"/>
      <c r="Q150" s="337"/>
      <c r="R150" s="336"/>
      <c r="S150" s="336"/>
      <c r="T150" s="336"/>
      <c r="U150" s="331" t="s">
        <v>322</v>
      </c>
      <c r="V150" s="330"/>
    </row>
    <row r="151" spans="1:22">
      <c r="B151" s="49">
        <v>15</v>
      </c>
      <c r="C151" s="327" t="s">
        <v>267</v>
      </c>
      <c r="D151" s="303"/>
      <c r="E151" s="86"/>
      <c r="F151" s="75"/>
      <c r="G151" s="326"/>
      <c r="H151" s="324"/>
      <c r="I151" s="322"/>
      <c r="J151" s="322"/>
      <c r="K151" s="322"/>
      <c r="L151" s="323"/>
      <c r="M151" s="323"/>
      <c r="N151" s="324"/>
      <c r="O151" s="323"/>
      <c r="P151" s="324"/>
      <c r="Q151" s="323"/>
      <c r="R151" s="322"/>
      <c r="S151" s="322"/>
      <c r="T151" s="322"/>
      <c r="U151" s="269"/>
    </row>
    <row r="152" spans="1:22">
      <c r="B152" s="278"/>
      <c r="C152" s="230"/>
      <c r="D152" s="186"/>
      <c r="E152" s="86" t="s">
        <v>268</v>
      </c>
      <c r="F152" s="75"/>
      <c r="G152" s="326">
        <v>119</v>
      </c>
      <c r="H152" s="324">
        <v>150</v>
      </c>
      <c r="I152" s="322"/>
      <c r="J152" s="322"/>
      <c r="K152" s="322"/>
      <c r="L152" s="323"/>
      <c r="M152" s="323"/>
      <c r="N152" s="324"/>
      <c r="O152" s="323"/>
      <c r="P152" s="324"/>
      <c r="Q152" s="323"/>
      <c r="R152" s="322"/>
      <c r="S152" s="322"/>
      <c r="T152" s="322"/>
      <c r="U152" s="269" t="s">
        <v>269</v>
      </c>
    </row>
    <row r="153" spans="1:22">
      <c r="B153" s="278"/>
      <c r="C153" s="230"/>
      <c r="D153" s="186"/>
      <c r="E153" s="86" t="s">
        <v>285</v>
      </c>
      <c r="F153" s="328"/>
      <c r="G153" s="326">
        <v>120</v>
      </c>
      <c r="H153" s="325">
        <f>H152/(H21-H1-H4-H31)</f>
        <v>1.5306122448979591</v>
      </c>
      <c r="I153" s="322"/>
      <c r="J153" s="322"/>
      <c r="K153" s="322"/>
      <c r="L153" s="323"/>
      <c r="M153" s="323"/>
      <c r="N153" s="324"/>
      <c r="O153" s="323"/>
      <c r="P153" s="324"/>
      <c r="Q153" s="323"/>
      <c r="R153" s="322"/>
      <c r="S153" s="322"/>
      <c r="T153" s="322"/>
      <c r="U153" s="269" t="s">
        <v>270</v>
      </c>
    </row>
    <row r="154" spans="1:22">
      <c r="B154" s="278"/>
      <c r="C154" s="230"/>
      <c r="D154" s="186"/>
      <c r="E154" s="86" t="s">
        <v>271</v>
      </c>
      <c r="F154" s="75"/>
      <c r="G154" s="326">
        <v>121</v>
      </c>
      <c r="H154" s="324">
        <v>125</v>
      </c>
      <c r="I154" s="322"/>
      <c r="J154" s="322"/>
      <c r="K154" s="322"/>
      <c r="L154" s="323"/>
      <c r="M154" s="323"/>
      <c r="N154" s="324"/>
      <c r="O154" s="323"/>
      <c r="P154" s="324"/>
      <c r="Q154" s="323"/>
      <c r="R154" s="322"/>
      <c r="S154" s="322"/>
      <c r="T154" s="322"/>
      <c r="U154" s="269" t="s">
        <v>272</v>
      </c>
    </row>
    <row r="155" spans="1:22">
      <c r="B155" s="241"/>
      <c r="C155" s="142"/>
      <c r="D155" s="144"/>
      <c r="E155" s="86" t="s">
        <v>286</v>
      </c>
      <c r="F155" s="328"/>
      <c r="G155" s="326">
        <v>122</v>
      </c>
      <c r="H155" s="325">
        <f>H154/(H13-H1-H4-H7)</f>
        <v>0.73529411764705888</v>
      </c>
      <c r="I155" s="322"/>
      <c r="J155" s="322"/>
      <c r="K155" s="322"/>
      <c r="L155" s="323"/>
      <c r="M155" s="323"/>
      <c r="N155" s="324"/>
      <c r="O155" s="323"/>
      <c r="P155" s="324"/>
      <c r="Q155" s="323"/>
      <c r="R155" s="322"/>
      <c r="S155" s="322"/>
      <c r="T155" s="322"/>
      <c r="U155" s="269" t="s">
        <v>273</v>
      </c>
    </row>
    <row r="156" spans="1:22">
      <c r="B156" s="49">
        <v>16</v>
      </c>
      <c r="C156" s="327" t="s">
        <v>274</v>
      </c>
      <c r="D156" s="303"/>
      <c r="E156" s="86"/>
      <c r="F156" s="75"/>
      <c r="G156" s="326"/>
      <c r="H156" s="324"/>
      <c r="I156" s="322"/>
      <c r="J156" s="322"/>
      <c r="K156" s="322"/>
      <c r="L156" s="323"/>
      <c r="M156" s="323"/>
      <c r="N156" s="324"/>
      <c r="O156" s="323"/>
      <c r="P156" s="324"/>
      <c r="Q156" s="323"/>
      <c r="R156" s="322"/>
      <c r="S156" s="322"/>
      <c r="T156" s="322"/>
      <c r="U156" s="269"/>
    </row>
    <row r="157" spans="1:22">
      <c r="B157" s="278"/>
      <c r="C157" s="230"/>
      <c r="D157" s="186"/>
      <c r="E157" s="86" t="s">
        <v>275</v>
      </c>
      <c r="F157" s="75"/>
      <c r="G157" s="326">
        <v>123</v>
      </c>
      <c r="H157" s="324"/>
      <c r="I157" s="322"/>
      <c r="J157" s="322"/>
      <c r="K157" s="322"/>
      <c r="L157" s="323"/>
      <c r="M157" s="323"/>
      <c r="N157" s="324"/>
      <c r="O157" s="323"/>
      <c r="P157" s="324"/>
      <c r="Q157" s="323"/>
      <c r="R157" s="322"/>
      <c r="S157" s="322"/>
      <c r="T157" s="322"/>
      <c r="U157" s="269" t="s">
        <v>279</v>
      </c>
    </row>
    <row r="158" spans="1:22">
      <c r="B158" s="278"/>
      <c r="C158" s="230"/>
      <c r="D158" s="186"/>
      <c r="E158" s="86" t="s">
        <v>276</v>
      </c>
      <c r="F158" s="328"/>
      <c r="G158" s="326">
        <v>124</v>
      </c>
      <c r="H158" s="325"/>
      <c r="I158" s="322"/>
      <c r="J158" s="322"/>
      <c r="K158" s="322"/>
      <c r="L158" s="323"/>
      <c r="M158" s="323"/>
      <c r="N158" s="324"/>
      <c r="O158" s="323"/>
      <c r="P158" s="324"/>
      <c r="Q158" s="323"/>
      <c r="R158" s="322"/>
      <c r="S158" s="322"/>
      <c r="T158" s="322"/>
      <c r="U158" s="269" t="s">
        <v>280</v>
      </c>
    </row>
    <row r="159" spans="1:22">
      <c r="B159" s="278"/>
      <c r="C159" s="230"/>
      <c r="D159" s="186"/>
      <c r="E159" s="86" t="s">
        <v>277</v>
      </c>
      <c r="F159" s="75"/>
      <c r="G159" s="326">
        <v>125</v>
      </c>
      <c r="H159" s="324"/>
      <c r="I159" s="322"/>
      <c r="J159" s="322"/>
      <c r="K159" s="322"/>
      <c r="L159" s="323"/>
      <c r="M159" s="323"/>
      <c r="N159" s="324"/>
      <c r="O159" s="323"/>
      <c r="P159" s="324"/>
      <c r="Q159" s="323"/>
      <c r="R159" s="322"/>
      <c r="S159" s="322"/>
      <c r="T159" s="322"/>
      <c r="U159" s="269" t="s">
        <v>281</v>
      </c>
    </row>
    <row r="160" spans="1:22">
      <c r="B160" s="241"/>
      <c r="C160" s="142"/>
      <c r="D160" s="144"/>
      <c r="E160" s="86" t="s">
        <v>278</v>
      </c>
      <c r="F160" s="328"/>
      <c r="G160" s="326">
        <v>126</v>
      </c>
      <c r="H160" s="325"/>
      <c r="I160" s="322"/>
      <c r="J160" s="322"/>
      <c r="K160" s="322"/>
      <c r="L160" s="323"/>
      <c r="M160" s="323"/>
      <c r="N160" s="324"/>
      <c r="O160" s="323"/>
      <c r="P160" s="324"/>
      <c r="Q160" s="323"/>
      <c r="R160" s="322"/>
      <c r="S160" s="322"/>
      <c r="T160" s="322"/>
      <c r="U160" s="269" t="s">
        <v>282</v>
      </c>
    </row>
    <row r="161" spans="2:21">
      <c r="B161" s="293">
        <v>17</v>
      </c>
      <c r="C161" s="344" t="s">
        <v>293</v>
      </c>
      <c r="D161" s="345"/>
      <c r="E161" s="346"/>
      <c r="F161" s="158"/>
      <c r="G161" s="338"/>
      <c r="H161" s="325"/>
      <c r="I161" s="322"/>
      <c r="J161" s="322"/>
      <c r="K161" s="322"/>
      <c r="L161" s="323"/>
      <c r="M161" s="323"/>
      <c r="N161" s="324"/>
      <c r="O161" s="323"/>
      <c r="P161" s="324"/>
      <c r="Q161" s="323"/>
      <c r="R161" s="322"/>
      <c r="S161" s="322"/>
      <c r="T161" s="322"/>
      <c r="U161" s="269"/>
    </row>
    <row r="162" spans="2:21">
      <c r="B162" s="278"/>
      <c r="C162" s="230"/>
      <c r="D162" s="186"/>
      <c r="E162" s="86" t="s">
        <v>294</v>
      </c>
      <c r="F162" s="186"/>
      <c r="G162" s="338">
        <v>127</v>
      </c>
      <c r="H162" s="161">
        <v>900</v>
      </c>
      <c r="I162" s="322"/>
      <c r="J162" s="322"/>
      <c r="K162" s="322"/>
      <c r="L162" s="323"/>
      <c r="M162" s="323"/>
      <c r="N162" s="324"/>
      <c r="O162" s="323"/>
      <c r="P162" s="324"/>
      <c r="Q162" s="323"/>
      <c r="R162" s="322"/>
      <c r="S162" s="322"/>
      <c r="T162" s="322"/>
      <c r="U162" s="269" t="s">
        <v>308</v>
      </c>
    </row>
    <row r="163" spans="2:21">
      <c r="B163" s="241"/>
      <c r="C163" s="142"/>
      <c r="D163" s="144"/>
      <c r="E163" s="86" t="s">
        <v>295</v>
      </c>
      <c r="F163" s="75"/>
      <c r="G163" s="338">
        <v>128</v>
      </c>
      <c r="H163" s="324">
        <v>100</v>
      </c>
      <c r="I163" s="322"/>
      <c r="J163" s="322"/>
      <c r="K163" s="322"/>
      <c r="L163" s="323"/>
      <c r="M163" s="323"/>
      <c r="N163" s="324"/>
      <c r="O163" s="323"/>
      <c r="P163" s="324"/>
      <c r="Q163" s="323"/>
      <c r="R163" s="322"/>
      <c r="S163" s="322"/>
      <c r="T163" s="322"/>
      <c r="U163" s="269" t="s">
        <v>309</v>
      </c>
    </row>
    <row r="164" spans="2:21">
      <c r="B164" s="293">
        <v>18</v>
      </c>
      <c r="C164" s="238" t="s">
        <v>296</v>
      </c>
      <c r="D164" s="286"/>
      <c r="G164" s="338"/>
      <c r="H164" s="348"/>
      <c r="I164" s="322"/>
      <c r="J164" s="322"/>
      <c r="K164" s="322"/>
      <c r="L164" s="323"/>
      <c r="M164" s="323"/>
      <c r="N164" s="324"/>
      <c r="O164" s="323"/>
      <c r="P164" s="324"/>
      <c r="Q164" s="323"/>
      <c r="R164" s="322"/>
      <c r="S164" s="322"/>
      <c r="T164" s="322"/>
      <c r="U164" s="269"/>
    </row>
    <row r="165" spans="2:21">
      <c r="B165" s="347"/>
      <c r="C165" s="230"/>
      <c r="D165" s="186"/>
      <c r="E165" s="86" t="s">
        <v>297</v>
      </c>
      <c r="F165" s="75"/>
      <c r="G165" s="338">
        <v>129</v>
      </c>
      <c r="H165" s="349">
        <v>100</v>
      </c>
      <c r="I165" s="322"/>
      <c r="J165" s="322"/>
      <c r="K165" s="322"/>
      <c r="L165" s="323"/>
      <c r="M165" s="323"/>
      <c r="N165" s="324"/>
      <c r="O165" s="323"/>
      <c r="P165" s="324"/>
      <c r="Q165" s="323"/>
      <c r="R165" s="322"/>
      <c r="S165" s="322"/>
      <c r="T165" s="322"/>
      <c r="U165" s="269" t="s">
        <v>310</v>
      </c>
    </row>
    <row r="166" spans="2:21">
      <c r="B166" s="347"/>
      <c r="C166" s="230"/>
      <c r="D166" s="186"/>
      <c r="E166" s="86" t="s">
        <v>298</v>
      </c>
      <c r="F166" s="75"/>
      <c r="G166" s="338">
        <v>130</v>
      </c>
      <c r="H166" s="349">
        <v>150</v>
      </c>
      <c r="I166" s="322"/>
      <c r="J166" s="322"/>
      <c r="K166" s="322"/>
      <c r="L166" s="323"/>
      <c r="M166" s="323"/>
      <c r="N166" s="324"/>
      <c r="O166" s="323"/>
      <c r="P166" s="324"/>
      <c r="Q166" s="323"/>
      <c r="R166" s="322"/>
      <c r="S166" s="322"/>
      <c r="T166" s="322"/>
      <c r="U166" s="269" t="s">
        <v>311</v>
      </c>
    </row>
    <row r="167" spans="2:21">
      <c r="B167" s="278"/>
      <c r="C167" s="230"/>
      <c r="D167" s="186"/>
      <c r="E167" s="34" t="s">
        <v>299</v>
      </c>
      <c r="F167" s="193" t="s">
        <v>306</v>
      </c>
      <c r="G167" s="338"/>
      <c r="H167" s="348">
        <v>0.8</v>
      </c>
      <c r="I167" s="322"/>
      <c r="J167" s="322"/>
      <c r="K167" s="322"/>
      <c r="L167" s="323"/>
      <c r="M167" s="323"/>
      <c r="N167" s="324"/>
      <c r="O167" s="323"/>
      <c r="P167" s="324"/>
      <c r="Q167" s="323"/>
      <c r="R167" s="322"/>
      <c r="S167" s="322"/>
      <c r="T167" s="322"/>
      <c r="U167" s="269" t="s">
        <v>312</v>
      </c>
    </row>
    <row r="168" spans="2:21">
      <c r="B168" s="278"/>
      <c r="C168" s="230"/>
      <c r="D168" s="186"/>
      <c r="E168" s="86" t="s">
        <v>300</v>
      </c>
      <c r="F168" s="75"/>
      <c r="G168" s="338">
        <v>131</v>
      </c>
      <c r="H168" s="349">
        <v>85</v>
      </c>
      <c r="I168" s="322"/>
      <c r="J168" s="322"/>
      <c r="K168" s="322"/>
      <c r="L168" s="323"/>
      <c r="M168" s="323"/>
      <c r="N168" s="324"/>
      <c r="O168" s="323"/>
      <c r="P168" s="324"/>
      <c r="Q168" s="323"/>
      <c r="R168" s="322"/>
      <c r="S168" s="322"/>
      <c r="T168" s="322"/>
      <c r="U168" s="269" t="s">
        <v>313</v>
      </c>
    </row>
    <row r="169" spans="2:21">
      <c r="B169" s="278"/>
      <c r="C169" s="230"/>
      <c r="D169" s="186"/>
      <c r="E169" s="102" t="s">
        <v>301</v>
      </c>
      <c r="F169" s="75"/>
      <c r="G169" s="338">
        <v>132</v>
      </c>
      <c r="H169" s="349">
        <v>100</v>
      </c>
      <c r="I169" s="322"/>
      <c r="J169" s="322"/>
      <c r="K169" s="322"/>
      <c r="L169" s="323"/>
      <c r="M169" s="323"/>
      <c r="N169" s="324"/>
      <c r="O169" s="323"/>
      <c r="P169" s="324"/>
      <c r="Q169" s="323"/>
      <c r="R169" s="322"/>
      <c r="S169" s="322"/>
      <c r="T169" s="322"/>
      <c r="U169" s="269" t="s">
        <v>301</v>
      </c>
    </row>
    <row r="170" spans="2:21">
      <c r="B170" s="278"/>
      <c r="C170" s="230"/>
      <c r="D170" s="186"/>
      <c r="E170" s="34" t="s">
        <v>302</v>
      </c>
      <c r="F170" s="193" t="s">
        <v>307</v>
      </c>
      <c r="G170" s="338"/>
      <c r="H170" s="348">
        <v>0.95</v>
      </c>
      <c r="I170" s="322"/>
      <c r="J170" s="322"/>
      <c r="K170" s="322"/>
      <c r="L170" s="323"/>
      <c r="M170" s="323"/>
      <c r="N170" s="324"/>
      <c r="O170" s="323"/>
      <c r="P170" s="324"/>
      <c r="Q170" s="323"/>
      <c r="R170" s="322"/>
      <c r="S170" s="322"/>
      <c r="T170" s="322"/>
      <c r="U170" s="269" t="s">
        <v>314</v>
      </c>
    </row>
    <row r="171" spans="2:21">
      <c r="B171" s="279"/>
      <c r="C171" s="230"/>
      <c r="D171" s="186"/>
      <c r="E171" s="86" t="s">
        <v>303</v>
      </c>
      <c r="F171" s="75"/>
      <c r="G171" s="338">
        <v>133</v>
      </c>
      <c r="H171" s="348">
        <v>0.8</v>
      </c>
      <c r="I171" s="322"/>
      <c r="J171" s="322"/>
      <c r="K171" s="322"/>
      <c r="L171" s="323"/>
      <c r="M171" s="323"/>
      <c r="N171" s="324"/>
      <c r="O171" s="323"/>
      <c r="P171" s="324"/>
      <c r="Q171" s="323"/>
      <c r="R171" s="322"/>
      <c r="S171" s="322"/>
      <c r="T171" s="322"/>
      <c r="U171" s="269" t="s">
        <v>315</v>
      </c>
    </row>
    <row r="172" spans="2:21">
      <c r="B172" s="279"/>
      <c r="C172" s="230"/>
      <c r="D172" s="186"/>
      <c r="E172" s="86" t="s">
        <v>304</v>
      </c>
      <c r="F172" s="75"/>
      <c r="G172" s="338">
        <v>134</v>
      </c>
      <c r="H172" s="349">
        <v>250</v>
      </c>
      <c r="I172" s="322"/>
      <c r="J172" s="322"/>
      <c r="K172" s="322"/>
      <c r="L172" s="323"/>
      <c r="M172" s="323"/>
      <c r="N172" s="324"/>
      <c r="O172" s="323"/>
      <c r="P172" s="324"/>
      <c r="Q172" s="323"/>
      <c r="R172" s="322"/>
      <c r="S172" s="322"/>
      <c r="T172" s="322"/>
      <c r="U172" s="269" t="s">
        <v>316</v>
      </c>
    </row>
    <row r="173" spans="2:21">
      <c r="B173" s="279"/>
      <c r="C173" s="230"/>
      <c r="D173" s="186"/>
      <c r="E173" s="86" t="s">
        <v>305</v>
      </c>
      <c r="F173" s="75"/>
      <c r="G173" s="338">
        <v>135</v>
      </c>
      <c r="H173" s="348">
        <v>0.05</v>
      </c>
      <c r="I173" s="322"/>
      <c r="J173" s="322"/>
      <c r="K173" s="322"/>
      <c r="L173" s="323"/>
      <c r="M173" s="323"/>
      <c r="N173" s="324"/>
      <c r="O173" s="323"/>
      <c r="P173" s="324"/>
      <c r="Q173" s="323"/>
      <c r="R173" s="322"/>
      <c r="S173" s="322"/>
      <c r="T173" s="322"/>
      <c r="U173" s="269" t="s">
        <v>317</v>
      </c>
    </row>
    <row r="174" spans="2:21">
      <c r="B174" s="49">
        <v>19</v>
      </c>
      <c r="C174" s="333" t="s">
        <v>287</v>
      </c>
      <c r="D174" s="286"/>
      <c r="E174" s="86"/>
      <c r="F174" s="75"/>
      <c r="G174" s="329"/>
      <c r="H174" s="324"/>
      <c r="I174" s="322"/>
      <c r="J174" s="322"/>
      <c r="K174" s="322"/>
      <c r="L174" s="323"/>
      <c r="M174" s="323"/>
      <c r="N174" s="324"/>
      <c r="O174" s="323"/>
      <c r="P174" s="324"/>
      <c r="Q174" s="323"/>
      <c r="R174" s="322"/>
      <c r="S174" s="322"/>
      <c r="T174" s="322"/>
      <c r="U174" s="269"/>
    </row>
    <row r="175" spans="2:21" ht="15" customHeight="1">
      <c r="B175" s="278"/>
      <c r="C175" s="33"/>
      <c r="D175" s="186"/>
      <c r="E175" s="352" t="s">
        <v>318</v>
      </c>
      <c r="F175" s="352"/>
      <c r="G175" s="352">
        <v>136</v>
      </c>
      <c r="H175" s="351" t="s">
        <v>288</v>
      </c>
      <c r="I175" s="350"/>
      <c r="J175" s="350"/>
      <c r="K175" s="350"/>
      <c r="L175" s="351"/>
      <c r="M175" s="351"/>
      <c r="N175" s="351"/>
      <c r="O175" s="351"/>
      <c r="P175" s="351"/>
      <c r="Q175" s="351"/>
      <c r="R175" s="350"/>
      <c r="S175" s="350"/>
      <c r="T175" s="350"/>
      <c r="U175" s="352" t="s">
        <v>290</v>
      </c>
    </row>
    <row r="176" spans="2:21">
      <c r="B176" s="241"/>
      <c r="C176" s="318"/>
      <c r="D176" s="144"/>
      <c r="E176" s="352" t="s">
        <v>319</v>
      </c>
      <c r="F176" s="352"/>
      <c r="G176" s="352">
        <v>137</v>
      </c>
      <c r="H176" s="351" t="s">
        <v>289</v>
      </c>
      <c r="I176" s="350"/>
      <c r="J176" s="350"/>
      <c r="K176" s="350"/>
      <c r="L176" s="351"/>
      <c r="M176" s="351"/>
      <c r="N176" s="351"/>
      <c r="O176" s="351"/>
      <c r="P176" s="351"/>
      <c r="Q176" s="351"/>
      <c r="R176" s="350"/>
      <c r="S176" s="350"/>
      <c r="T176" s="350"/>
      <c r="U176" s="352" t="s">
        <v>291</v>
      </c>
    </row>
    <row r="177" spans="21:21" ht="25.5">
      <c r="U177" s="353" t="s">
        <v>320</v>
      </c>
    </row>
  </sheetData>
  <protectedRanges>
    <protectedRange sqref="H115 H109:H110" name="Range16_1_1_1_9_1_1"/>
    <protectedRange sqref="H100:H104 H111:H114 H106:H107" name="Range17_1_1_1_8_1"/>
  </protectedRanges>
  <mergeCells count="31">
    <mergeCell ref="D43:E43"/>
    <mergeCell ref="D44:E44"/>
    <mergeCell ref="U9:U10"/>
    <mergeCell ref="U12:U13"/>
    <mergeCell ref="U15:U16"/>
    <mergeCell ref="D24:D36"/>
    <mergeCell ref="E24:E35"/>
    <mergeCell ref="D11:F11"/>
    <mergeCell ref="D37:D39"/>
    <mergeCell ref="D41:E42"/>
    <mergeCell ref="E3:F3"/>
    <mergeCell ref="E4:F4"/>
    <mergeCell ref="C6:F6"/>
    <mergeCell ref="D8:F8"/>
    <mergeCell ref="D19:E19"/>
    <mergeCell ref="D69:F69"/>
    <mergeCell ref="D70:F70"/>
    <mergeCell ref="D45:E45"/>
    <mergeCell ref="D95:F95"/>
    <mergeCell ref="E125:F125"/>
    <mergeCell ref="D80:D83"/>
    <mergeCell ref="D85:D87"/>
    <mergeCell ref="E85:F85"/>
    <mergeCell ref="D88:D90"/>
    <mergeCell ref="D91:D93"/>
    <mergeCell ref="D50:D54"/>
    <mergeCell ref="D58:D62"/>
    <mergeCell ref="D66:F66"/>
    <mergeCell ref="D72:D77"/>
    <mergeCell ref="D65:F65"/>
    <mergeCell ref="D68:F68"/>
  </mergeCells>
  <pageMargins left="0" right="0" top="0" bottom="0" header="0.31496062992125984" footer="0.31496062992125984"/>
  <pageSetup paperSize="8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79"/>
  <sheetViews>
    <sheetView topLeftCell="A4" zoomScale="85" zoomScaleNormal="85" workbookViewId="0">
      <pane ySplit="3" topLeftCell="A124" activePane="bottomLeft" state="frozen"/>
      <selection activeCell="C4" sqref="C4"/>
      <selection pane="bottomLeft" activeCell="F145" sqref="F145"/>
    </sheetView>
  </sheetViews>
  <sheetFormatPr defaultColWidth="9.140625" defaultRowHeight="12.75"/>
  <cols>
    <col min="1" max="1" width="1.28515625" style="102" customWidth="1"/>
    <col min="2" max="2" width="5.7109375" style="182" customWidth="1"/>
    <col min="3" max="3" width="6.140625" style="37" customWidth="1"/>
    <col min="4" max="4" width="9.7109375" style="102" customWidth="1"/>
    <col min="5" max="5" width="30.7109375" style="102" customWidth="1"/>
    <col min="6" max="6" width="39.85546875" style="102" customWidth="1"/>
    <col min="7" max="7" width="5.7109375" style="3" customWidth="1"/>
    <col min="8" max="8" width="14.7109375" style="3" hidden="1" customWidth="1"/>
    <col min="9" max="11" width="10.85546875" style="466" customWidth="1"/>
    <col min="12" max="13" width="10.85546875" style="243" customWidth="1"/>
    <col min="14" max="14" width="10.85546875" style="3" customWidth="1"/>
    <col min="15" max="18" width="10.85546875" style="243" customWidth="1"/>
    <col min="19" max="20" width="10.85546875" style="466" customWidth="1"/>
    <col min="21" max="16384" width="9.140625" style="2"/>
  </cols>
  <sheetData>
    <row r="1" spans="1:20" ht="26.25">
      <c r="B1" s="276" t="str">
        <f>'[1]PLEASE FILL THIS FORM'!B2</f>
        <v>KPI LAPORAN BULANAN BENGKEL</v>
      </c>
      <c r="H1" s="182"/>
      <c r="I1" s="182"/>
      <c r="J1" s="182"/>
      <c r="K1" s="182"/>
      <c r="S1" s="182"/>
      <c r="T1" s="182"/>
    </row>
    <row r="2" spans="1:20" ht="26.25">
      <c r="B2" s="276" t="str">
        <f>'[1]PLEASE FILL THIS FORM'!C3</f>
        <v>GENERAL REPAIR</v>
      </c>
      <c r="H2" s="182"/>
      <c r="I2" s="182"/>
      <c r="J2" s="182"/>
      <c r="K2" s="182"/>
      <c r="S2" s="182"/>
      <c r="T2" s="182"/>
    </row>
    <row r="3" spans="1:20">
      <c r="B3" s="100" t="s">
        <v>0</v>
      </c>
      <c r="C3" s="100"/>
      <c r="D3" s="31"/>
      <c r="E3" s="613"/>
      <c r="F3" s="613"/>
      <c r="H3" s="182"/>
      <c r="I3" s="182"/>
      <c r="J3" s="182"/>
      <c r="K3" s="182"/>
      <c r="S3" s="182"/>
      <c r="T3" s="182"/>
    </row>
    <row r="4" spans="1:20">
      <c r="B4" s="100" t="s">
        <v>1</v>
      </c>
      <c r="C4" s="100"/>
      <c r="D4" s="31"/>
      <c r="E4" s="613"/>
      <c r="F4" s="613"/>
      <c r="H4" s="355"/>
      <c r="I4" s="355"/>
      <c r="J4" s="355"/>
      <c r="K4" s="355"/>
      <c r="L4" s="356"/>
      <c r="M4" s="356"/>
      <c r="N4" s="357"/>
      <c r="O4" s="356"/>
      <c r="P4" s="356"/>
      <c r="Q4" s="356"/>
      <c r="R4" s="356"/>
      <c r="S4" s="355"/>
      <c r="T4" s="355"/>
    </row>
    <row r="5" spans="1:20" ht="13.5" thickBot="1">
      <c r="B5" s="37"/>
      <c r="H5" s="355"/>
      <c r="I5" s="355"/>
      <c r="J5" s="355"/>
      <c r="K5" s="355"/>
      <c r="L5" s="356"/>
      <c r="M5" s="356"/>
      <c r="N5" s="357"/>
      <c r="O5" s="356"/>
      <c r="P5" s="356"/>
      <c r="Q5" s="356"/>
      <c r="R5" s="356"/>
      <c r="S5" s="355"/>
      <c r="T5" s="355"/>
    </row>
    <row r="6" spans="1:20" s="4" customFormat="1" ht="14.25" thickTop="1" thickBot="1">
      <c r="A6" s="182"/>
      <c r="B6" s="206" t="s">
        <v>2</v>
      </c>
      <c r="C6" s="614" t="s">
        <v>3</v>
      </c>
      <c r="D6" s="615"/>
      <c r="E6" s="615"/>
      <c r="F6" s="616"/>
      <c r="G6" s="206"/>
      <c r="H6" s="224" t="s">
        <v>137</v>
      </c>
      <c r="I6" s="14" t="s">
        <v>4</v>
      </c>
      <c r="J6" s="14" t="s">
        <v>5</v>
      </c>
      <c r="K6" s="14" t="s">
        <v>6</v>
      </c>
      <c r="L6" s="14" t="s">
        <v>7</v>
      </c>
      <c r="M6" s="14" t="s">
        <v>8</v>
      </c>
      <c r="N6" s="14" t="s">
        <v>9</v>
      </c>
      <c r="O6" s="14" t="s">
        <v>10</v>
      </c>
      <c r="P6" s="14" t="s">
        <v>11</v>
      </c>
      <c r="Q6" s="14" t="s">
        <v>12</v>
      </c>
      <c r="R6" s="14" t="s">
        <v>13</v>
      </c>
      <c r="S6" s="14" t="s">
        <v>14</v>
      </c>
      <c r="T6" s="358" t="s">
        <v>15</v>
      </c>
    </row>
    <row r="7" spans="1:20" ht="13.5" thickTop="1">
      <c r="B7" s="277">
        <v>1</v>
      </c>
      <c r="C7" s="33" t="s">
        <v>16</v>
      </c>
      <c r="D7" s="94"/>
      <c r="E7" s="94"/>
      <c r="F7" s="94"/>
      <c r="G7" s="13"/>
      <c r="H7" s="159"/>
      <c r="I7" s="159"/>
      <c r="J7" s="159"/>
      <c r="K7" s="159"/>
      <c r="L7" s="359"/>
      <c r="M7" s="359"/>
      <c r="N7" s="159"/>
      <c r="O7" s="359"/>
      <c r="P7" s="359"/>
      <c r="Q7" s="359"/>
      <c r="R7" s="359"/>
      <c r="S7" s="159"/>
      <c r="T7" s="360"/>
    </row>
    <row r="8" spans="1:20" s="37" customFormat="1">
      <c r="B8" s="278"/>
      <c r="C8" s="33"/>
      <c r="D8" s="602" t="s">
        <v>96</v>
      </c>
      <c r="E8" s="603"/>
      <c r="F8" s="604"/>
      <c r="G8" s="49"/>
      <c r="H8" s="361"/>
      <c r="I8" s="361"/>
      <c r="J8" s="361"/>
      <c r="K8" s="361"/>
      <c r="L8" s="362"/>
      <c r="M8" s="363"/>
      <c r="N8" s="362"/>
      <c r="O8" s="363"/>
      <c r="P8" s="363"/>
      <c r="Q8" s="363"/>
      <c r="R8" s="363"/>
      <c r="S8" s="364"/>
      <c r="T8" s="365"/>
    </row>
    <row r="9" spans="1:20" s="37" customFormat="1" ht="16.149999999999999" customHeight="1">
      <c r="B9" s="278"/>
      <c r="C9" s="33"/>
      <c r="D9" s="339"/>
      <c r="E9" s="50" t="s">
        <v>114</v>
      </c>
      <c r="F9" s="48"/>
      <c r="G9" s="51">
        <v>1</v>
      </c>
      <c r="H9" s="366">
        <v>150</v>
      </c>
      <c r="I9" s="366">
        <v>71</v>
      </c>
      <c r="J9" s="366">
        <v>81</v>
      </c>
      <c r="K9" s="366">
        <v>138</v>
      </c>
      <c r="L9" s="367">
        <v>170</v>
      </c>
      <c r="M9" s="368">
        <v>160</v>
      </c>
      <c r="N9" s="369">
        <v>215</v>
      </c>
      <c r="O9" s="370">
        <v>124</v>
      </c>
      <c r="P9" s="370">
        <v>147</v>
      </c>
      <c r="Q9" s="370">
        <v>182</v>
      </c>
      <c r="R9" s="370">
        <v>157</v>
      </c>
      <c r="S9" s="371"/>
      <c r="T9" s="372"/>
    </row>
    <row r="10" spans="1:20" s="37" customFormat="1">
      <c r="B10" s="278"/>
      <c r="C10" s="33"/>
      <c r="D10" s="339"/>
      <c r="E10" s="50" t="s">
        <v>115</v>
      </c>
      <c r="F10" s="48"/>
      <c r="G10" s="51">
        <v>2</v>
      </c>
      <c r="H10" s="366">
        <v>160</v>
      </c>
      <c r="I10" s="366">
        <v>208</v>
      </c>
      <c r="J10" s="366">
        <v>265</v>
      </c>
      <c r="K10" s="366">
        <v>209</v>
      </c>
      <c r="L10" s="367">
        <v>279</v>
      </c>
      <c r="M10" s="368">
        <v>234</v>
      </c>
      <c r="N10" s="369">
        <v>282</v>
      </c>
      <c r="O10" s="370">
        <v>216</v>
      </c>
      <c r="P10" s="370">
        <v>239</v>
      </c>
      <c r="Q10" s="370">
        <v>287</v>
      </c>
      <c r="R10" s="370">
        <v>249</v>
      </c>
      <c r="S10" s="371"/>
      <c r="T10" s="372"/>
    </row>
    <row r="11" spans="1:20" s="37" customFormat="1">
      <c r="B11" s="278"/>
      <c r="C11" s="33"/>
      <c r="D11" s="602" t="s">
        <v>97</v>
      </c>
      <c r="E11" s="603"/>
      <c r="F11" s="604"/>
      <c r="G11" s="51"/>
      <c r="H11" s="366"/>
      <c r="I11" s="366"/>
      <c r="J11" s="366"/>
      <c r="K11" s="366"/>
      <c r="L11" s="367"/>
      <c r="M11" s="368"/>
      <c r="N11" s="369"/>
      <c r="O11" s="370"/>
      <c r="P11" s="370"/>
      <c r="Q11" s="370"/>
      <c r="R11" s="370"/>
      <c r="S11" s="371"/>
      <c r="T11" s="372"/>
    </row>
    <row r="12" spans="1:20" s="37" customFormat="1">
      <c r="B12" s="278"/>
      <c r="C12" s="33"/>
      <c r="D12" s="339"/>
      <c r="E12" s="50" t="s">
        <v>116</v>
      </c>
      <c r="F12" s="48"/>
      <c r="G12" s="51">
        <v>3</v>
      </c>
      <c r="H12" s="366">
        <v>165</v>
      </c>
      <c r="I12" s="366">
        <v>0</v>
      </c>
      <c r="J12" s="366">
        <v>0</v>
      </c>
      <c r="K12" s="366">
        <v>0</v>
      </c>
      <c r="L12" s="367">
        <v>0</v>
      </c>
      <c r="M12" s="368">
        <v>0</v>
      </c>
      <c r="N12" s="369">
        <v>0</v>
      </c>
      <c r="O12" s="370">
        <v>0</v>
      </c>
      <c r="P12" s="370">
        <v>0</v>
      </c>
      <c r="Q12" s="370">
        <v>0</v>
      </c>
      <c r="R12" s="370">
        <v>0</v>
      </c>
      <c r="S12" s="371"/>
      <c r="T12" s="372"/>
    </row>
    <row r="13" spans="1:20" s="37" customFormat="1">
      <c r="B13" s="278"/>
      <c r="C13" s="33"/>
      <c r="D13" s="339"/>
      <c r="E13" s="50" t="s">
        <v>117</v>
      </c>
      <c r="F13" s="48"/>
      <c r="G13" s="51">
        <v>4</v>
      </c>
      <c r="H13" s="366">
        <v>170</v>
      </c>
      <c r="I13" s="366">
        <v>0</v>
      </c>
      <c r="J13" s="366">
        <v>0</v>
      </c>
      <c r="K13" s="366">
        <v>0</v>
      </c>
      <c r="L13" s="367">
        <v>0</v>
      </c>
      <c r="M13" s="368">
        <v>0</v>
      </c>
      <c r="N13" s="369">
        <v>0</v>
      </c>
      <c r="O13" s="370">
        <v>0</v>
      </c>
      <c r="P13" s="370">
        <v>0</v>
      </c>
      <c r="Q13" s="370">
        <v>0</v>
      </c>
      <c r="R13" s="370">
        <v>0</v>
      </c>
      <c r="S13" s="371"/>
      <c r="T13" s="372"/>
    </row>
    <row r="14" spans="1:20" s="37" customFormat="1">
      <c r="B14" s="278"/>
      <c r="C14" s="33"/>
      <c r="D14" s="57" t="s">
        <v>98</v>
      </c>
      <c r="E14" s="50"/>
      <c r="F14" s="48"/>
      <c r="G14" s="51"/>
      <c r="H14" s="373"/>
      <c r="I14" s="373"/>
      <c r="J14" s="373"/>
      <c r="K14" s="373"/>
      <c r="L14" s="374"/>
      <c r="M14" s="375"/>
      <c r="N14" s="374"/>
      <c r="O14" s="376"/>
      <c r="P14" s="376"/>
      <c r="Q14" s="376"/>
      <c r="R14" s="376"/>
      <c r="S14" s="364"/>
      <c r="T14" s="365"/>
    </row>
    <row r="15" spans="1:20" s="37" customFormat="1">
      <c r="B15" s="278"/>
      <c r="C15" s="33"/>
      <c r="D15" s="57"/>
      <c r="E15" s="50" t="s">
        <v>28</v>
      </c>
      <c r="F15" s="48"/>
      <c r="G15" s="51">
        <v>5</v>
      </c>
      <c r="H15" s="366">
        <v>100</v>
      </c>
      <c r="I15" s="366">
        <v>0</v>
      </c>
      <c r="J15" s="366">
        <v>0</v>
      </c>
      <c r="K15" s="366">
        <v>0</v>
      </c>
      <c r="L15" s="366">
        <v>0</v>
      </c>
      <c r="M15" s="366">
        <v>0</v>
      </c>
      <c r="N15" s="366">
        <v>0</v>
      </c>
      <c r="O15" s="366">
        <v>0</v>
      </c>
      <c r="P15" s="366">
        <v>0</v>
      </c>
      <c r="Q15" s="366">
        <v>0</v>
      </c>
      <c r="R15" s="366">
        <v>0</v>
      </c>
      <c r="S15" s="366"/>
      <c r="T15" s="377"/>
    </row>
    <row r="16" spans="1:20" s="37" customFormat="1">
      <c r="B16" s="279"/>
      <c r="C16" s="167"/>
      <c r="D16" s="57"/>
      <c r="E16" s="50" t="s">
        <v>29</v>
      </c>
      <c r="F16" s="48"/>
      <c r="G16" s="51">
        <v>6</v>
      </c>
      <c r="H16" s="366">
        <v>101</v>
      </c>
      <c r="I16" s="366">
        <v>0</v>
      </c>
      <c r="J16" s="366">
        <v>0</v>
      </c>
      <c r="K16" s="366">
        <v>0</v>
      </c>
      <c r="L16" s="366">
        <v>0</v>
      </c>
      <c r="M16" s="366">
        <v>0</v>
      </c>
      <c r="N16" s="366">
        <v>0</v>
      </c>
      <c r="O16" s="366">
        <v>0</v>
      </c>
      <c r="P16" s="366">
        <v>0</v>
      </c>
      <c r="Q16" s="366">
        <v>0</v>
      </c>
      <c r="R16" s="366">
        <v>0</v>
      </c>
      <c r="S16" s="366"/>
      <c r="T16" s="377"/>
    </row>
    <row r="17" spans="1:20" s="47" customFormat="1">
      <c r="A17" s="37"/>
      <c r="B17" s="279"/>
      <c r="C17" s="230"/>
      <c r="D17" s="57" t="s">
        <v>99</v>
      </c>
      <c r="E17" s="340"/>
      <c r="F17" s="38"/>
      <c r="G17" s="4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246"/>
    </row>
    <row r="18" spans="1:20" s="47" customFormat="1" ht="13.15" customHeight="1">
      <c r="A18" s="37"/>
      <c r="B18" s="279"/>
      <c r="C18" s="230"/>
      <c r="D18" s="339"/>
      <c r="E18" s="50" t="s">
        <v>30</v>
      </c>
      <c r="F18" s="38"/>
      <c r="G18" s="51">
        <v>7</v>
      </c>
      <c r="H18" s="59">
        <v>251</v>
      </c>
      <c r="I18" s="59">
        <v>58</v>
      </c>
      <c r="J18" s="59">
        <v>70</v>
      </c>
      <c r="K18" s="59">
        <v>38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/>
      <c r="T18" s="246"/>
    </row>
    <row r="19" spans="1:20" s="37" customFormat="1" ht="13.15" customHeight="1">
      <c r="B19" s="278"/>
      <c r="C19" s="33"/>
      <c r="D19" s="602" t="s">
        <v>100</v>
      </c>
      <c r="E19" s="617"/>
      <c r="F19" s="48"/>
      <c r="G19" s="49"/>
      <c r="H19" s="361"/>
      <c r="I19" s="361"/>
      <c r="J19" s="361"/>
      <c r="K19" s="361"/>
      <c r="L19" s="362"/>
      <c r="M19" s="363"/>
      <c r="N19" s="362"/>
      <c r="O19" s="363"/>
      <c r="P19" s="363"/>
      <c r="Q19" s="363"/>
      <c r="R19" s="363"/>
      <c r="S19" s="364"/>
      <c r="T19" s="365"/>
    </row>
    <row r="20" spans="1:20" s="37" customFormat="1">
      <c r="B20" s="278"/>
      <c r="C20" s="33"/>
      <c r="D20" s="339"/>
      <c r="E20" s="50" t="s">
        <v>85</v>
      </c>
      <c r="F20" s="48"/>
      <c r="G20" s="51">
        <v>8</v>
      </c>
      <c r="H20" s="366">
        <v>500</v>
      </c>
      <c r="I20" s="366">
        <v>1170</v>
      </c>
      <c r="J20" s="366">
        <v>1183</v>
      </c>
      <c r="K20" s="366">
        <v>1098</v>
      </c>
      <c r="L20" s="367">
        <v>858</v>
      </c>
      <c r="M20" s="368">
        <v>748</v>
      </c>
      <c r="N20" s="369">
        <v>1020</v>
      </c>
      <c r="O20" s="370">
        <v>1000</v>
      </c>
      <c r="P20" s="370">
        <v>1081</v>
      </c>
      <c r="Q20" s="370">
        <v>1078</v>
      </c>
      <c r="R20" s="370">
        <v>975</v>
      </c>
      <c r="S20" s="371"/>
      <c r="T20" s="372"/>
    </row>
    <row r="21" spans="1:20" s="37" customFormat="1">
      <c r="B21" s="278"/>
      <c r="C21" s="33"/>
      <c r="D21" s="168"/>
      <c r="E21" s="148" t="s">
        <v>86</v>
      </c>
      <c r="F21" s="48"/>
      <c r="G21" s="51">
        <v>9</v>
      </c>
      <c r="H21" s="366">
        <v>100</v>
      </c>
      <c r="I21" s="366">
        <v>128</v>
      </c>
      <c r="J21" s="366">
        <v>103</v>
      </c>
      <c r="K21" s="366">
        <v>79</v>
      </c>
      <c r="L21" s="367">
        <v>100</v>
      </c>
      <c r="M21" s="368">
        <v>80</v>
      </c>
      <c r="N21" s="369">
        <v>99</v>
      </c>
      <c r="O21" s="370">
        <v>95</v>
      </c>
      <c r="P21" s="370">
        <v>103</v>
      </c>
      <c r="Q21" s="370">
        <v>113</v>
      </c>
      <c r="R21" s="370">
        <v>88</v>
      </c>
      <c r="S21" s="371"/>
      <c r="T21" s="372"/>
    </row>
    <row r="22" spans="1:20" s="37" customFormat="1" ht="13.5" thickBot="1">
      <c r="B22" s="278"/>
      <c r="C22" s="60"/>
      <c r="D22" s="169" t="s">
        <v>118</v>
      </c>
      <c r="E22" s="280"/>
      <c r="F22" s="281"/>
      <c r="G22" s="190">
        <v>10</v>
      </c>
      <c r="H22" s="282">
        <f>SUM(H20:H21)</f>
        <v>600</v>
      </c>
      <c r="I22" s="282">
        <f t="shared" ref="I22:T22" si="0">SUM(I20:I21)</f>
        <v>1298</v>
      </c>
      <c r="J22" s="282">
        <f t="shared" si="0"/>
        <v>1286</v>
      </c>
      <c r="K22" s="282">
        <f t="shared" si="0"/>
        <v>1177</v>
      </c>
      <c r="L22" s="282">
        <f t="shared" si="0"/>
        <v>958</v>
      </c>
      <c r="M22" s="282">
        <f t="shared" si="0"/>
        <v>828</v>
      </c>
      <c r="N22" s="282">
        <f t="shared" si="0"/>
        <v>1119</v>
      </c>
      <c r="O22" s="282">
        <f t="shared" si="0"/>
        <v>1095</v>
      </c>
      <c r="P22" s="282">
        <f t="shared" si="0"/>
        <v>1184</v>
      </c>
      <c r="Q22" s="282">
        <f t="shared" si="0"/>
        <v>1191</v>
      </c>
      <c r="R22" s="282">
        <f t="shared" si="0"/>
        <v>1063</v>
      </c>
      <c r="S22" s="282">
        <f t="shared" si="0"/>
        <v>0</v>
      </c>
      <c r="T22" s="282">
        <f t="shared" si="0"/>
        <v>0</v>
      </c>
    </row>
    <row r="23" spans="1:20" ht="13.5" thickTop="1">
      <c r="B23" s="278"/>
      <c r="C23" s="33"/>
      <c r="D23" s="100" t="s">
        <v>101</v>
      </c>
      <c r="E23" s="86"/>
      <c r="F23" s="75"/>
      <c r="G23" s="338"/>
      <c r="H23" s="378"/>
      <c r="I23" s="378"/>
      <c r="J23" s="378"/>
      <c r="K23" s="378"/>
      <c r="L23" s="378"/>
      <c r="M23" s="378"/>
      <c r="N23" s="379"/>
      <c r="O23" s="378"/>
      <c r="P23" s="378"/>
      <c r="Q23" s="378"/>
      <c r="R23" s="378"/>
      <c r="S23" s="378"/>
      <c r="T23" s="380"/>
    </row>
    <row r="24" spans="1:20" ht="13.15" customHeight="1">
      <c r="B24" s="278"/>
      <c r="C24" s="33"/>
      <c r="D24" s="619" t="s">
        <v>17</v>
      </c>
      <c r="E24" s="622" t="s">
        <v>18</v>
      </c>
      <c r="F24" s="18" t="s">
        <v>252</v>
      </c>
      <c r="G24" s="338">
        <v>11</v>
      </c>
      <c r="H24" s="381">
        <v>200</v>
      </c>
      <c r="I24" s="381">
        <v>93</v>
      </c>
      <c r="J24" s="381">
        <v>69</v>
      </c>
      <c r="K24" s="381">
        <v>92</v>
      </c>
      <c r="L24" s="382">
        <v>86</v>
      </c>
      <c r="M24" s="383">
        <v>81</v>
      </c>
      <c r="N24" s="366">
        <v>121</v>
      </c>
      <c r="O24" s="384">
        <v>86</v>
      </c>
      <c r="P24" s="384">
        <v>83</v>
      </c>
      <c r="Q24" s="384">
        <v>81</v>
      </c>
      <c r="R24" s="384">
        <v>64</v>
      </c>
      <c r="S24" s="384"/>
      <c r="T24" s="383"/>
    </row>
    <row r="25" spans="1:20" ht="13.15" customHeight="1">
      <c r="B25" s="278"/>
      <c r="C25" s="33"/>
      <c r="D25" s="620"/>
      <c r="E25" s="623"/>
      <c r="F25" s="18" t="s">
        <v>253</v>
      </c>
      <c r="G25" s="338">
        <v>12</v>
      </c>
      <c r="H25" s="385">
        <v>100</v>
      </c>
      <c r="I25" s="385">
        <v>102</v>
      </c>
      <c r="J25" s="385">
        <v>97</v>
      </c>
      <c r="K25" s="385">
        <v>84</v>
      </c>
      <c r="L25" s="382">
        <v>77</v>
      </c>
      <c r="M25" s="383">
        <v>78</v>
      </c>
      <c r="N25" s="366">
        <v>107</v>
      </c>
      <c r="O25" s="384">
        <v>82</v>
      </c>
      <c r="P25" s="384">
        <v>108</v>
      </c>
      <c r="Q25" s="384">
        <v>107</v>
      </c>
      <c r="R25" s="384">
        <v>105</v>
      </c>
      <c r="S25" s="384"/>
      <c r="T25" s="383"/>
    </row>
    <row r="26" spans="1:20">
      <c r="B26" s="278"/>
      <c r="C26" s="33"/>
      <c r="D26" s="620"/>
      <c r="E26" s="623"/>
      <c r="F26" s="18" t="s">
        <v>254</v>
      </c>
      <c r="G26" s="338">
        <f>+G25+1</f>
        <v>13</v>
      </c>
      <c r="H26" s="385">
        <v>50</v>
      </c>
      <c r="I26" s="385">
        <v>106</v>
      </c>
      <c r="J26" s="385">
        <v>83</v>
      </c>
      <c r="K26" s="385">
        <v>88</v>
      </c>
      <c r="L26" s="382">
        <v>109</v>
      </c>
      <c r="M26" s="383">
        <v>88</v>
      </c>
      <c r="N26" s="366">
        <v>142</v>
      </c>
      <c r="O26" s="384">
        <v>101</v>
      </c>
      <c r="P26" s="384">
        <v>133</v>
      </c>
      <c r="Q26" s="384">
        <v>107</v>
      </c>
      <c r="R26" s="384">
        <v>84</v>
      </c>
      <c r="S26" s="384"/>
      <c r="T26" s="383"/>
    </row>
    <row r="27" spans="1:20" ht="13.15" customHeight="1">
      <c r="B27" s="278"/>
      <c r="C27" s="33"/>
      <c r="D27" s="620"/>
      <c r="E27" s="623"/>
      <c r="F27" s="18" t="s">
        <v>255</v>
      </c>
      <c r="G27" s="338">
        <v>14</v>
      </c>
      <c r="H27" s="385">
        <v>40</v>
      </c>
      <c r="I27" s="385">
        <v>72</v>
      </c>
      <c r="J27" s="385">
        <v>84</v>
      </c>
      <c r="K27" s="385">
        <v>96</v>
      </c>
      <c r="L27" s="382">
        <v>82</v>
      </c>
      <c r="M27" s="383">
        <v>79</v>
      </c>
      <c r="N27" s="366">
        <v>114</v>
      </c>
      <c r="O27" s="384">
        <v>114</v>
      </c>
      <c r="P27" s="384">
        <v>106</v>
      </c>
      <c r="Q27" s="384">
        <v>125</v>
      </c>
      <c r="R27" s="384">
        <v>82</v>
      </c>
      <c r="S27" s="384"/>
      <c r="T27" s="383"/>
    </row>
    <row r="28" spans="1:20" ht="13.15" customHeight="1">
      <c r="B28" s="278"/>
      <c r="C28" s="33"/>
      <c r="D28" s="620"/>
      <c r="E28" s="623"/>
      <c r="F28" s="18" t="s">
        <v>256</v>
      </c>
      <c r="G28" s="338">
        <v>15</v>
      </c>
      <c r="H28" s="385">
        <v>30</v>
      </c>
      <c r="I28" s="385">
        <v>64</v>
      </c>
      <c r="J28" s="385">
        <v>106</v>
      </c>
      <c r="K28" s="385">
        <v>88</v>
      </c>
      <c r="L28" s="382">
        <v>78</v>
      </c>
      <c r="M28" s="383">
        <v>94</v>
      </c>
      <c r="N28" s="366">
        <v>91</v>
      </c>
      <c r="O28" s="384">
        <v>90</v>
      </c>
      <c r="P28" s="384">
        <v>124</v>
      </c>
      <c r="Q28" s="384">
        <v>121</v>
      </c>
      <c r="R28" s="384">
        <v>77</v>
      </c>
      <c r="S28" s="384"/>
      <c r="T28" s="383"/>
    </row>
    <row r="29" spans="1:20" ht="13.15" customHeight="1">
      <c r="B29" s="278"/>
      <c r="C29" s="33"/>
      <c r="D29" s="620"/>
      <c r="E29" s="623"/>
      <c r="F29" s="18" t="s">
        <v>257</v>
      </c>
      <c r="G29" s="338">
        <v>16</v>
      </c>
      <c r="H29" s="385">
        <v>10</v>
      </c>
      <c r="I29" s="385">
        <v>21</v>
      </c>
      <c r="J29" s="385">
        <v>8</v>
      </c>
      <c r="K29" s="385">
        <v>4</v>
      </c>
      <c r="L29" s="382">
        <v>4</v>
      </c>
      <c r="M29" s="383">
        <v>6</v>
      </c>
      <c r="N29" s="366">
        <v>5</v>
      </c>
      <c r="O29" s="384">
        <v>39</v>
      </c>
      <c r="P29" s="384">
        <v>25</v>
      </c>
      <c r="Q29" s="384">
        <v>6</v>
      </c>
      <c r="R29" s="384">
        <v>40</v>
      </c>
      <c r="S29" s="384"/>
      <c r="T29" s="383"/>
    </row>
    <row r="30" spans="1:20" ht="13.15" customHeight="1">
      <c r="B30" s="278"/>
      <c r="C30" s="33"/>
      <c r="D30" s="620"/>
      <c r="E30" s="623"/>
      <c r="F30" s="18" t="s">
        <v>258</v>
      </c>
      <c r="G30" s="338">
        <v>17</v>
      </c>
      <c r="H30" s="385">
        <v>10</v>
      </c>
      <c r="I30" s="385">
        <v>28</v>
      </c>
      <c r="J30" s="385">
        <v>30</v>
      </c>
      <c r="K30" s="385">
        <v>27</v>
      </c>
      <c r="L30" s="382">
        <v>27</v>
      </c>
      <c r="M30" s="383">
        <v>16</v>
      </c>
      <c r="N30" s="366">
        <v>27</v>
      </c>
      <c r="O30" s="384">
        <v>23</v>
      </c>
      <c r="P30" s="384">
        <v>26</v>
      </c>
      <c r="Q30" s="384">
        <v>35</v>
      </c>
      <c r="R30" s="384">
        <v>29</v>
      </c>
      <c r="S30" s="384"/>
      <c r="T30" s="383"/>
    </row>
    <row r="31" spans="1:20" ht="13.15" customHeight="1">
      <c r="B31" s="278"/>
      <c r="C31" s="33"/>
      <c r="D31" s="620"/>
      <c r="E31" s="623"/>
      <c r="F31" s="18" t="s">
        <v>259</v>
      </c>
      <c r="G31" s="338">
        <v>18</v>
      </c>
      <c r="H31" s="385">
        <v>2</v>
      </c>
      <c r="I31" s="385">
        <v>3</v>
      </c>
      <c r="J31" s="385">
        <v>5</v>
      </c>
      <c r="K31" s="385">
        <v>1</v>
      </c>
      <c r="L31" s="382">
        <v>1</v>
      </c>
      <c r="M31" s="383">
        <v>1</v>
      </c>
      <c r="N31" s="366">
        <v>2</v>
      </c>
      <c r="O31" s="384">
        <v>8</v>
      </c>
      <c r="P31" s="384">
        <v>4</v>
      </c>
      <c r="Q31" s="384">
        <v>1</v>
      </c>
      <c r="R31" s="384">
        <v>2</v>
      </c>
      <c r="S31" s="384"/>
      <c r="T31" s="383"/>
    </row>
    <row r="32" spans="1:20" ht="13.15" customHeight="1">
      <c r="B32" s="278"/>
      <c r="C32" s="33"/>
      <c r="D32" s="620"/>
      <c r="E32" s="623"/>
      <c r="F32" s="18" t="s">
        <v>260</v>
      </c>
      <c r="G32" s="338">
        <f>+G31+1</f>
        <v>19</v>
      </c>
      <c r="H32" s="385">
        <v>1</v>
      </c>
      <c r="I32" s="385">
        <v>21</v>
      </c>
      <c r="J32" s="385">
        <v>16</v>
      </c>
      <c r="K32" s="385">
        <v>16</v>
      </c>
      <c r="L32" s="382">
        <v>13</v>
      </c>
      <c r="M32" s="383">
        <v>14</v>
      </c>
      <c r="N32" s="366">
        <v>18</v>
      </c>
      <c r="O32" s="384">
        <v>25</v>
      </c>
      <c r="P32" s="384">
        <v>15</v>
      </c>
      <c r="Q32" s="384">
        <v>18</v>
      </c>
      <c r="R32" s="384">
        <v>23</v>
      </c>
      <c r="S32" s="384"/>
      <c r="T32" s="383"/>
    </row>
    <row r="33" spans="1:20" ht="13.15" customHeight="1">
      <c r="B33" s="278"/>
      <c r="C33" s="33"/>
      <c r="D33" s="620"/>
      <c r="E33" s="623"/>
      <c r="F33" s="18" t="s">
        <v>261</v>
      </c>
      <c r="G33" s="338">
        <v>20</v>
      </c>
      <c r="H33" s="386">
        <v>3</v>
      </c>
      <c r="I33" s="386">
        <v>3</v>
      </c>
      <c r="J33" s="386">
        <v>4</v>
      </c>
      <c r="K33" s="386">
        <v>1</v>
      </c>
      <c r="L33" s="382">
        <v>0</v>
      </c>
      <c r="M33" s="383">
        <v>1</v>
      </c>
      <c r="N33" s="366">
        <v>1</v>
      </c>
      <c r="O33" s="384">
        <v>1</v>
      </c>
      <c r="P33" s="384">
        <v>3</v>
      </c>
      <c r="Q33" s="384">
        <v>2</v>
      </c>
      <c r="R33" s="384">
        <v>1</v>
      </c>
      <c r="S33" s="384"/>
      <c r="T33" s="383"/>
    </row>
    <row r="34" spans="1:20" ht="13.15" customHeight="1">
      <c r="B34" s="278"/>
      <c r="C34" s="33"/>
      <c r="D34" s="620"/>
      <c r="E34" s="623"/>
      <c r="F34" s="28" t="s">
        <v>19</v>
      </c>
      <c r="G34" s="338">
        <v>21</v>
      </c>
      <c r="H34" s="384">
        <v>1</v>
      </c>
      <c r="I34" s="384">
        <v>1</v>
      </c>
      <c r="J34" s="384">
        <v>1</v>
      </c>
      <c r="K34" s="384">
        <v>1</v>
      </c>
      <c r="L34" s="382">
        <v>1</v>
      </c>
      <c r="M34" s="383">
        <v>2</v>
      </c>
      <c r="N34" s="383">
        <v>3</v>
      </c>
      <c r="O34" s="384">
        <v>2</v>
      </c>
      <c r="P34" s="384">
        <v>6</v>
      </c>
      <c r="Q34" s="384">
        <v>3</v>
      </c>
      <c r="R34" s="384">
        <v>0</v>
      </c>
      <c r="S34" s="388"/>
      <c r="T34" s="383"/>
    </row>
    <row r="35" spans="1:20" ht="13.15" customHeight="1">
      <c r="B35" s="278"/>
      <c r="C35" s="33"/>
      <c r="D35" s="620"/>
      <c r="E35" s="624"/>
      <c r="F35" s="31" t="s">
        <v>20</v>
      </c>
      <c r="G35" s="338">
        <v>22</v>
      </c>
      <c r="H35" s="384">
        <v>40</v>
      </c>
      <c r="I35" s="384">
        <v>49</v>
      </c>
      <c r="J35" s="384">
        <v>71</v>
      </c>
      <c r="K35" s="384">
        <v>58</v>
      </c>
      <c r="L35" s="382">
        <v>41</v>
      </c>
      <c r="M35" s="383">
        <v>38</v>
      </c>
      <c r="N35" s="366">
        <v>52</v>
      </c>
      <c r="O35" s="384">
        <v>64</v>
      </c>
      <c r="P35" s="384">
        <v>57</v>
      </c>
      <c r="Q35" s="384">
        <v>63</v>
      </c>
      <c r="R35" s="384">
        <v>44</v>
      </c>
      <c r="S35" s="384"/>
      <c r="T35" s="383"/>
    </row>
    <row r="36" spans="1:20" s="37" customFormat="1" ht="13.15" customHeight="1">
      <c r="B36" s="278"/>
      <c r="C36" s="33"/>
      <c r="D36" s="621"/>
      <c r="E36" s="34" t="s">
        <v>125</v>
      </c>
      <c r="F36" s="189"/>
      <c r="G36" s="36">
        <v>23</v>
      </c>
      <c r="H36" s="19">
        <f>SUM(H24:H35)</f>
        <v>487</v>
      </c>
      <c r="I36" s="19">
        <f t="shared" ref="I36:T36" si="1">SUM(I24:I35)</f>
        <v>563</v>
      </c>
      <c r="J36" s="19">
        <f t="shared" si="1"/>
        <v>574</v>
      </c>
      <c r="K36" s="19">
        <f t="shared" si="1"/>
        <v>556</v>
      </c>
      <c r="L36" s="19">
        <f t="shared" si="1"/>
        <v>519</v>
      </c>
      <c r="M36" s="19">
        <f t="shared" si="1"/>
        <v>498</v>
      </c>
      <c r="N36" s="19">
        <f t="shared" si="1"/>
        <v>683</v>
      </c>
      <c r="O36" s="19">
        <f t="shared" si="1"/>
        <v>635</v>
      </c>
      <c r="P36" s="19">
        <f t="shared" si="1"/>
        <v>690</v>
      </c>
      <c r="Q36" s="19">
        <f t="shared" si="1"/>
        <v>669</v>
      </c>
      <c r="R36" s="19">
        <f t="shared" si="1"/>
        <v>551</v>
      </c>
      <c r="S36" s="19">
        <f t="shared" si="1"/>
        <v>0</v>
      </c>
      <c r="T36" s="19">
        <f t="shared" si="1"/>
        <v>0</v>
      </c>
    </row>
    <row r="37" spans="1:20" ht="13.15" customHeight="1">
      <c r="B37" s="278"/>
      <c r="C37" s="33"/>
      <c r="D37" s="607" t="s">
        <v>21</v>
      </c>
      <c r="E37" s="58" t="s">
        <v>22</v>
      </c>
      <c r="F37" s="28"/>
      <c r="G37" s="338">
        <f>+G36+1</f>
        <v>24</v>
      </c>
      <c r="H37" s="384">
        <v>60</v>
      </c>
      <c r="I37" s="384">
        <v>218</v>
      </c>
      <c r="J37" s="384">
        <v>202</v>
      </c>
      <c r="K37" s="384">
        <v>152</v>
      </c>
      <c r="L37" s="384">
        <v>110</v>
      </c>
      <c r="M37" s="383">
        <v>92</v>
      </c>
      <c r="N37" s="366">
        <v>123</v>
      </c>
      <c r="O37" s="384">
        <v>132</v>
      </c>
      <c r="P37" s="384">
        <v>172</v>
      </c>
      <c r="Q37" s="384">
        <v>138</v>
      </c>
      <c r="R37" s="384">
        <v>179</v>
      </c>
      <c r="S37" s="384"/>
      <c r="T37" s="383"/>
    </row>
    <row r="38" spans="1:20" ht="13.15" customHeight="1">
      <c r="B38" s="278"/>
      <c r="C38" s="33"/>
      <c r="D38" s="608"/>
      <c r="E38" s="28" t="s">
        <v>23</v>
      </c>
      <c r="F38" s="31" t="s">
        <v>24</v>
      </c>
      <c r="G38" s="338">
        <f>+G37+1</f>
        <v>25</v>
      </c>
      <c r="H38" s="384">
        <v>50</v>
      </c>
      <c r="I38" s="384">
        <v>389</v>
      </c>
      <c r="J38" s="384">
        <v>407</v>
      </c>
      <c r="K38" s="384">
        <v>390</v>
      </c>
      <c r="L38" s="384">
        <v>229</v>
      </c>
      <c r="M38" s="388">
        <v>158</v>
      </c>
      <c r="N38" s="366">
        <v>214</v>
      </c>
      <c r="O38" s="387">
        <v>233</v>
      </c>
      <c r="P38" s="387">
        <v>219</v>
      </c>
      <c r="Q38" s="387">
        <v>271</v>
      </c>
      <c r="R38" s="387">
        <v>245</v>
      </c>
      <c r="S38" s="384"/>
      <c r="T38" s="383"/>
    </row>
    <row r="39" spans="1:20" s="37" customFormat="1" ht="13.15" customHeight="1">
      <c r="B39" s="278"/>
      <c r="C39" s="33"/>
      <c r="D39" s="609"/>
      <c r="E39" s="34" t="s">
        <v>126</v>
      </c>
      <c r="F39" s="35"/>
      <c r="G39" s="36">
        <f>+G38+1</f>
        <v>26</v>
      </c>
      <c r="H39" s="19">
        <f>+H37+H38</f>
        <v>110</v>
      </c>
      <c r="I39" s="19">
        <f t="shared" ref="I39:T39" si="2">+I37+I38</f>
        <v>607</v>
      </c>
      <c r="J39" s="19">
        <f t="shared" si="2"/>
        <v>609</v>
      </c>
      <c r="K39" s="19">
        <f t="shared" si="2"/>
        <v>542</v>
      </c>
      <c r="L39" s="19">
        <f t="shared" si="2"/>
        <v>339</v>
      </c>
      <c r="M39" s="19">
        <f t="shared" si="2"/>
        <v>250</v>
      </c>
      <c r="N39" s="19">
        <f t="shared" si="2"/>
        <v>337</v>
      </c>
      <c r="O39" s="19">
        <f t="shared" si="2"/>
        <v>365</v>
      </c>
      <c r="P39" s="19">
        <f t="shared" si="2"/>
        <v>391</v>
      </c>
      <c r="Q39" s="19">
        <f t="shared" si="2"/>
        <v>409</v>
      </c>
      <c r="R39" s="19">
        <f t="shared" si="2"/>
        <v>424</v>
      </c>
      <c r="S39" s="19">
        <f t="shared" si="2"/>
        <v>0</v>
      </c>
      <c r="T39" s="19">
        <f t="shared" si="2"/>
        <v>0</v>
      </c>
    </row>
    <row r="40" spans="1:20" ht="13.15" customHeight="1">
      <c r="B40" s="278"/>
      <c r="C40" s="33"/>
      <c r="D40" s="100" t="s">
        <v>102</v>
      </c>
      <c r="E40" s="58"/>
      <c r="F40" s="75"/>
      <c r="G40" s="338"/>
      <c r="H40" s="390"/>
      <c r="I40" s="390"/>
      <c r="J40" s="390"/>
      <c r="K40" s="390"/>
      <c r="L40" s="390"/>
      <c r="M40" s="391"/>
      <c r="N40" s="373"/>
      <c r="O40" s="390"/>
      <c r="P40" s="390"/>
      <c r="Q40" s="390"/>
      <c r="R40" s="390"/>
      <c r="S40" s="390"/>
      <c r="T40" s="391"/>
    </row>
    <row r="41" spans="1:20" ht="13.15" customHeight="1">
      <c r="B41" s="278"/>
      <c r="C41" s="33"/>
      <c r="D41" s="625" t="s">
        <v>264</v>
      </c>
      <c r="E41" s="626"/>
      <c r="F41" s="31" t="s">
        <v>262</v>
      </c>
      <c r="G41" s="338">
        <v>27</v>
      </c>
      <c r="H41" s="392">
        <v>50</v>
      </c>
      <c r="I41" s="392">
        <v>83</v>
      </c>
      <c r="J41" s="392">
        <v>63</v>
      </c>
      <c r="K41" s="392">
        <v>43</v>
      </c>
      <c r="L41" s="384">
        <v>58</v>
      </c>
      <c r="M41" s="393">
        <v>38</v>
      </c>
      <c r="N41" s="366">
        <v>37</v>
      </c>
      <c r="O41" s="389">
        <v>26</v>
      </c>
      <c r="P41" s="389">
        <v>19</v>
      </c>
      <c r="Q41" s="389">
        <v>32</v>
      </c>
      <c r="R41" s="389">
        <v>28</v>
      </c>
      <c r="S41" s="394"/>
      <c r="T41" s="383"/>
    </row>
    <row r="42" spans="1:20" ht="13.15" customHeight="1">
      <c r="B42" s="278"/>
      <c r="C42" s="33"/>
      <c r="D42" s="627"/>
      <c r="E42" s="628"/>
      <c r="F42" s="31" t="s">
        <v>263</v>
      </c>
      <c r="G42" s="338">
        <f>+G41+1</f>
        <v>28</v>
      </c>
      <c r="H42" s="372">
        <v>60</v>
      </c>
      <c r="I42" s="372">
        <v>104</v>
      </c>
      <c r="J42" s="372">
        <v>77</v>
      </c>
      <c r="K42" s="372">
        <v>56</v>
      </c>
      <c r="L42" s="384">
        <v>80</v>
      </c>
      <c r="M42" s="395">
        <v>55</v>
      </c>
      <c r="N42" s="366">
        <v>51</v>
      </c>
      <c r="O42" s="389">
        <v>34</v>
      </c>
      <c r="P42" s="389">
        <v>25</v>
      </c>
      <c r="Q42" s="389">
        <v>39</v>
      </c>
      <c r="R42" s="389">
        <v>36</v>
      </c>
      <c r="S42" s="396"/>
      <c r="T42" s="383"/>
    </row>
    <row r="43" spans="1:20" ht="13.15" customHeight="1">
      <c r="B43" s="278"/>
      <c r="C43" s="33"/>
      <c r="D43" s="600" t="s">
        <v>25</v>
      </c>
      <c r="E43" s="601"/>
      <c r="F43" s="31"/>
      <c r="G43" s="338">
        <v>29</v>
      </c>
      <c r="H43" s="384">
        <v>10</v>
      </c>
      <c r="I43" s="384">
        <v>52</v>
      </c>
      <c r="J43" s="384">
        <v>54</v>
      </c>
      <c r="K43" s="384">
        <v>45</v>
      </c>
      <c r="L43" s="384">
        <v>48</v>
      </c>
      <c r="M43" s="383">
        <v>30</v>
      </c>
      <c r="N43" s="366">
        <v>47</v>
      </c>
      <c r="O43" s="384">
        <v>48</v>
      </c>
      <c r="P43" s="384">
        <v>66</v>
      </c>
      <c r="Q43" s="384">
        <v>74</v>
      </c>
      <c r="R43" s="384">
        <v>58</v>
      </c>
      <c r="S43" s="384"/>
      <c r="T43" s="383"/>
    </row>
    <row r="44" spans="1:20" ht="13.15" customHeight="1">
      <c r="B44" s="278"/>
      <c r="C44" s="33"/>
      <c r="D44" s="600" t="s">
        <v>26</v>
      </c>
      <c r="E44" s="601"/>
      <c r="F44" s="31"/>
      <c r="G44" s="338">
        <v>30</v>
      </c>
      <c r="H44" s="384">
        <v>5</v>
      </c>
      <c r="I44" s="384">
        <v>2</v>
      </c>
      <c r="J44" s="384">
        <v>4</v>
      </c>
      <c r="K44" s="384">
        <v>3</v>
      </c>
      <c r="L44" s="384">
        <v>2</v>
      </c>
      <c r="M44" s="383">
        <v>5</v>
      </c>
      <c r="N44" s="372">
        <v>5</v>
      </c>
      <c r="O44" s="383">
        <v>9</v>
      </c>
      <c r="P44" s="383">
        <v>8</v>
      </c>
      <c r="Q44" s="383">
        <v>4</v>
      </c>
      <c r="R44" s="383">
        <v>1</v>
      </c>
      <c r="S44" s="384"/>
      <c r="T44" s="383"/>
    </row>
    <row r="45" spans="1:20" ht="13.15" customHeight="1">
      <c r="B45" s="278"/>
      <c r="C45" s="33"/>
      <c r="D45" s="600" t="s">
        <v>27</v>
      </c>
      <c r="E45" s="601"/>
      <c r="F45" s="31"/>
      <c r="G45" s="338">
        <v>31</v>
      </c>
      <c r="H45" s="384">
        <v>10</v>
      </c>
      <c r="I45" s="384">
        <v>0</v>
      </c>
      <c r="J45" s="384">
        <v>0</v>
      </c>
      <c r="K45" s="384">
        <v>0</v>
      </c>
      <c r="L45" s="384">
        <v>0</v>
      </c>
      <c r="M45" s="388">
        <v>0</v>
      </c>
      <c r="N45" s="366">
        <v>0</v>
      </c>
      <c r="O45" s="385">
        <v>0</v>
      </c>
      <c r="P45" s="385">
        <v>0</v>
      </c>
      <c r="Q45" s="385">
        <v>0</v>
      </c>
      <c r="R45" s="385">
        <v>0</v>
      </c>
      <c r="S45" s="384"/>
      <c r="T45" s="383"/>
    </row>
    <row r="46" spans="1:20" s="47" customFormat="1" ht="13.9" customHeight="1" thickBot="1">
      <c r="A46" s="37"/>
      <c r="B46" s="283"/>
      <c r="C46" s="60"/>
      <c r="D46" s="170" t="s">
        <v>127</v>
      </c>
      <c r="E46" s="65"/>
      <c r="F46" s="171"/>
      <c r="G46" s="190">
        <v>32</v>
      </c>
      <c r="H46" s="300">
        <f>+H42+H43+H44+H45</f>
        <v>85</v>
      </c>
      <c r="I46" s="300">
        <f t="shared" ref="I46:T46" si="3">+I42+I43+I44+I45</f>
        <v>158</v>
      </c>
      <c r="J46" s="300">
        <f t="shared" si="3"/>
        <v>135</v>
      </c>
      <c r="K46" s="300">
        <f t="shared" si="3"/>
        <v>104</v>
      </c>
      <c r="L46" s="300">
        <f t="shared" si="3"/>
        <v>130</v>
      </c>
      <c r="M46" s="300">
        <f t="shared" si="3"/>
        <v>90</v>
      </c>
      <c r="N46" s="300">
        <f t="shared" si="3"/>
        <v>103</v>
      </c>
      <c r="O46" s="300">
        <f t="shared" si="3"/>
        <v>91</v>
      </c>
      <c r="P46" s="300">
        <f t="shared" si="3"/>
        <v>99</v>
      </c>
      <c r="Q46" s="300">
        <f t="shared" si="3"/>
        <v>117</v>
      </c>
      <c r="R46" s="300">
        <f t="shared" si="3"/>
        <v>95</v>
      </c>
      <c r="S46" s="300">
        <f t="shared" si="3"/>
        <v>0</v>
      </c>
      <c r="T46" s="300">
        <f t="shared" si="3"/>
        <v>0</v>
      </c>
    </row>
    <row r="47" spans="1:20" ht="13.5" thickTop="1">
      <c r="B47" s="278">
        <v>2</v>
      </c>
      <c r="C47" s="33" t="s">
        <v>31</v>
      </c>
      <c r="D47" s="94"/>
      <c r="E47" s="207"/>
      <c r="F47" s="94"/>
      <c r="G47" s="13"/>
      <c r="H47" s="397"/>
      <c r="I47" s="398"/>
      <c r="J47" s="398"/>
      <c r="K47" s="398"/>
      <c r="L47" s="398"/>
      <c r="M47" s="398"/>
      <c r="N47" s="399"/>
      <c r="O47" s="398"/>
      <c r="P47" s="398"/>
      <c r="Q47" s="398"/>
      <c r="R47" s="398"/>
      <c r="S47" s="398"/>
      <c r="T47" s="398"/>
    </row>
    <row r="48" spans="1:20" ht="13.5" thickBot="1">
      <c r="B48" s="283"/>
      <c r="C48" s="60"/>
      <c r="D48" s="219" t="s">
        <v>32</v>
      </c>
      <c r="E48" s="65"/>
      <c r="F48" s="208"/>
      <c r="G48" s="209">
        <v>33</v>
      </c>
      <c r="H48" s="400">
        <v>77</v>
      </c>
      <c r="I48" s="401">
        <v>398</v>
      </c>
      <c r="J48" s="401">
        <v>413</v>
      </c>
      <c r="K48" s="401">
        <v>350</v>
      </c>
      <c r="L48" s="402">
        <v>341</v>
      </c>
      <c r="M48" s="403">
        <v>334</v>
      </c>
      <c r="N48" s="402">
        <v>526</v>
      </c>
      <c r="O48" s="404">
        <v>530</v>
      </c>
      <c r="P48" s="404">
        <v>586</v>
      </c>
      <c r="Q48" s="404">
        <v>524</v>
      </c>
      <c r="R48" s="404">
        <v>477</v>
      </c>
      <c r="S48" s="401"/>
      <c r="T48" s="405"/>
    </row>
    <row r="49" spans="1:20" ht="13.5" thickTop="1">
      <c r="B49" s="278">
        <v>3</v>
      </c>
      <c r="C49" s="33" t="s">
        <v>33</v>
      </c>
      <c r="D49" s="94"/>
      <c r="E49" s="210"/>
      <c r="F49" s="94"/>
      <c r="G49" s="13"/>
      <c r="H49" s="406"/>
      <c r="I49" s="407"/>
      <c r="J49" s="407"/>
      <c r="K49" s="407"/>
      <c r="L49" s="407"/>
      <c r="M49" s="407"/>
      <c r="N49" s="408"/>
      <c r="O49" s="407"/>
      <c r="P49" s="407"/>
      <c r="Q49" s="407"/>
      <c r="R49" s="407"/>
      <c r="S49" s="407"/>
      <c r="T49" s="407"/>
    </row>
    <row r="50" spans="1:20">
      <c r="B50" s="278"/>
      <c r="C50" s="33"/>
      <c r="D50" s="607" t="s">
        <v>34</v>
      </c>
      <c r="E50" s="74" t="s">
        <v>35</v>
      </c>
      <c r="F50" s="75"/>
      <c r="G50" s="338">
        <f>+G48+1</f>
        <v>34</v>
      </c>
      <c r="H50" s="409">
        <v>105742</v>
      </c>
      <c r="I50" s="410">
        <v>396156.58899999998</v>
      </c>
      <c r="J50" s="410">
        <v>394099</v>
      </c>
      <c r="K50" s="410">
        <v>379558.73800000001</v>
      </c>
      <c r="L50" s="410">
        <v>343035.30200000003</v>
      </c>
      <c r="M50" s="410">
        <v>322868.22100000002</v>
      </c>
      <c r="N50" s="410">
        <v>446275.27600000001</v>
      </c>
      <c r="O50" s="410">
        <v>323472.29999999993</v>
      </c>
      <c r="P50" s="410">
        <v>447805.65600000002</v>
      </c>
      <c r="Q50" s="410">
        <v>442399.663</v>
      </c>
      <c r="R50" s="410">
        <v>360362.30599999998</v>
      </c>
      <c r="S50" s="410"/>
      <c r="T50" s="411"/>
    </row>
    <row r="51" spans="1:20">
      <c r="B51" s="278"/>
      <c r="C51" s="33"/>
      <c r="D51" s="608"/>
      <c r="E51" s="74" t="s">
        <v>36</v>
      </c>
      <c r="F51" s="75"/>
      <c r="G51" s="338">
        <f>+G50+1</f>
        <v>35</v>
      </c>
      <c r="H51" s="412">
        <v>52078</v>
      </c>
      <c r="I51" s="413">
        <v>627214.60400000005</v>
      </c>
      <c r="J51" s="413">
        <v>565700</v>
      </c>
      <c r="K51" s="413">
        <v>481516.06400000001</v>
      </c>
      <c r="L51" s="414">
        <v>369424.27399999998</v>
      </c>
      <c r="M51" s="415">
        <v>324652.89899999998</v>
      </c>
      <c r="N51" s="414">
        <v>481540.728</v>
      </c>
      <c r="O51" s="413">
        <v>421747.60700000002</v>
      </c>
      <c r="P51" s="413">
        <v>524911.69700000004</v>
      </c>
      <c r="Q51" s="413">
        <v>512862.61900000001</v>
      </c>
      <c r="R51" s="413">
        <v>438856.61900000001</v>
      </c>
      <c r="S51" s="413"/>
      <c r="T51" s="415"/>
    </row>
    <row r="52" spans="1:20">
      <c r="B52" s="278"/>
      <c r="C52" s="33"/>
      <c r="D52" s="608"/>
      <c r="E52" s="74" t="s">
        <v>37</v>
      </c>
      <c r="F52" s="75"/>
      <c r="G52" s="338">
        <f>+G51+1</f>
        <v>36</v>
      </c>
      <c r="H52" s="416">
        <v>53139</v>
      </c>
      <c r="I52" s="417">
        <v>122833.526</v>
      </c>
      <c r="J52" s="417">
        <v>115815</v>
      </c>
      <c r="K52" s="417">
        <v>68538.707999999999</v>
      </c>
      <c r="L52" s="417">
        <v>91692.294999999998</v>
      </c>
      <c r="M52" s="417">
        <v>57512.273000000001</v>
      </c>
      <c r="N52" s="417">
        <v>132331.06099999999</v>
      </c>
      <c r="O52" s="417">
        <v>184941.361</v>
      </c>
      <c r="P52" s="417">
        <v>192506.87299999999</v>
      </c>
      <c r="Q52" s="417">
        <v>160510.41500000001</v>
      </c>
      <c r="R52" s="417">
        <v>131988.97200000001</v>
      </c>
      <c r="S52" s="417"/>
      <c r="T52" s="418"/>
    </row>
    <row r="53" spans="1:20">
      <c r="B53" s="278"/>
      <c r="C53" s="33"/>
      <c r="D53" s="608"/>
      <c r="E53" s="74" t="s">
        <v>38</v>
      </c>
      <c r="F53" s="75"/>
      <c r="G53" s="338">
        <f>+G52+1</f>
        <v>37</v>
      </c>
      <c r="H53" s="412">
        <v>7688</v>
      </c>
      <c r="I53" s="413">
        <v>102893.5</v>
      </c>
      <c r="J53" s="413">
        <v>89015</v>
      </c>
      <c r="K53" s="413">
        <v>81581</v>
      </c>
      <c r="L53" s="414">
        <v>72637.5</v>
      </c>
      <c r="M53" s="415">
        <v>117006.766</v>
      </c>
      <c r="N53" s="415">
        <v>81830.455000000002</v>
      </c>
      <c r="O53" s="413">
        <v>85362</v>
      </c>
      <c r="P53" s="413">
        <v>82504</v>
      </c>
      <c r="Q53" s="413">
        <v>77810.5</v>
      </c>
      <c r="R53" s="413">
        <v>75906.5</v>
      </c>
      <c r="S53" s="413"/>
      <c r="T53" s="415"/>
    </row>
    <row r="54" spans="1:20" s="37" customFormat="1" ht="13.5" thickBot="1">
      <c r="B54" s="278"/>
      <c r="C54" s="84"/>
      <c r="D54" s="609"/>
      <c r="E54" s="170" t="s">
        <v>128</v>
      </c>
      <c r="F54" s="171"/>
      <c r="G54" s="190">
        <f>+G53+1</f>
        <v>38</v>
      </c>
      <c r="H54" s="201">
        <f>SUM(H50:H53)</f>
        <v>218647</v>
      </c>
      <c r="I54" s="201">
        <f t="shared" ref="I54:T54" si="4">SUM(I50:I53)</f>
        <v>1249098.219</v>
      </c>
      <c r="J54" s="201">
        <f t="shared" si="4"/>
        <v>1164629</v>
      </c>
      <c r="K54" s="201">
        <f t="shared" si="4"/>
        <v>1011194.51</v>
      </c>
      <c r="L54" s="201">
        <f t="shared" si="4"/>
        <v>876789.37100000004</v>
      </c>
      <c r="M54" s="201">
        <f t="shared" si="4"/>
        <v>822040.15899999999</v>
      </c>
      <c r="N54" s="201">
        <f t="shared" si="4"/>
        <v>1141977.52</v>
      </c>
      <c r="O54" s="201">
        <f t="shared" si="4"/>
        <v>1015523.2679999999</v>
      </c>
      <c r="P54" s="201">
        <f t="shared" si="4"/>
        <v>1247728.226</v>
      </c>
      <c r="Q54" s="201">
        <f t="shared" si="4"/>
        <v>1193583.1969999999</v>
      </c>
      <c r="R54" s="201">
        <f t="shared" si="4"/>
        <v>1007114.3970000001</v>
      </c>
      <c r="S54" s="201">
        <f t="shared" si="4"/>
        <v>0</v>
      </c>
      <c r="T54" s="201">
        <f t="shared" si="4"/>
        <v>0</v>
      </c>
    </row>
    <row r="55" spans="1:20" ht="13.5" thickTop="1">
      <c r="B55" s="241"/>
      <c r="C55" s="142"/>
      <c r="D55" s="341" t="s">
        <v>39</v>
      </c>
      <c r="E55" s="196" t="s">
        <v>40</v>
      </c>
      <c r="F55" s="144"/>
      <c r="G55" s="150">
        <f>+G54+1</f>
        <v>39</v>
      </c>
      <c r="H55" s="412">
        <v>97531</v>
      </c>
      <c r="I55" s="419">
        <v>778856.36416</v>
      </c>
      <c r="J55" s="419">
        <v>722069.98</v>
      </c>
      <c r="K55" s="419">
        <v>698029</v>
      </c>
      <c r="L55" s="419">
        <v>600262.13176000002</v>
      </c>
      <c r="M55" s="420">
        <v>612637.57676999993</v>
      </c>
      <c r="N55" s="421">
        <v>819938.55677000002</v>
      </c>
      <c r="O55" s="419">
        <v>826740</v>
      </c>
      <c r="P55" s="419">
        <v>825876.28606999991</v>
      </c>
      <c r="Q55" s="419">
        <v>869769.18082000001</v>
      </c>
      <c r="R55" s="419">
        <v>679150</v>
      </c>
      <c r="S55" s="419"/>
      <c r="T55" s="420"/>
    </row>
    <row r="56" spans="1:20">
      <c r="B56" s="278">
        <v>4</v>
      </c>
      <c r="C56" s="33" t="s">
        <v>41</v>
      </c>
      <c r="D56" s="94"/>
      <c r="E56" s="207"/>
      <c r="F56" s="94"/>
      <c r="G56" s="13"/>
      <c r="H56" s="407"/>
      <c r="I56" s="407"/>
      <c r="J56" s="407"/>
      <c r="K56" s="407"/>
      <c r="L56" s="407"/>
      <c r="M56" s="407"/>
      <c r="N56" s="422"/>
      <c r="O56" s="407"/>
      <c r="P56" s="407"/>
      <c r="Q56" s="407"/>
      <c r="R56" s="407"/>
      <c r="S56" s="407"/>
      <c r="T56" s="407"/>
    </row>
    <row r="57" spans="1:20">
      <c r="B57" s="278"/>
      <c r="C57" s="33" t="s">
        <v>42</v>
      </c>
      <c r="D57" s="94"/>
      <c r="E57" s="207"/>
      <c r="F57" s="94"/>
      <c r="G57" s="13"/>
      <c r="H57" s="407"/>
      <c r="I57" s="407"/>
      <c r="J57" s="407"/>
      <c r="K57" s="407"/>
      <c r="L57" s="407"/>
      <c r="M57" s="407"/>
      <c r="N57" s="408"/>
      <c r="O57" s="407"/>
      <c r="P57" s="407"/>
      <c r="Q57" s="407"/>
      <c r="R57" s="407"/>
      <c r="S57" s="407"/>
      <c r="T57" s="407"/>
    </row>
    <row r="58" spans="1:20">
      <c r="B58" s="278"/>
      <c r="C58" s="33"/>
      <c r="D58" s="611" t="s">
        <v>43</v>
      </c>
      <c r="E58" s="86" t="s">
        <v>44</v>
      </c>
      <c r="F58" s="75"/>
      <c r="G58" s="193">
        <f>+G55+1</f>
        <v>40</v>
      </c>
      <c r="H58" s="423">
        <v>0</v>
      </c>
      <c r="I58" s="424">
        <v>1</v>
      </c>
      <c r="J58" s="424">
        <v>1</v>
      </c>
      <c r="K58" s="424">
        <v>1</v>
      </c>
      <c r="L58" s="424">
        <v>1</v>
      </c>
      <c r="M58" s="424">
        <v>0</v>
      </c>
      <c r="N58" s="424">
        <v>0</v>
      </c>
      <c r="O58" s="424">
        <v>0</v>
      </c>
      <c r="P58" s="424">
        <v>0</v>
      </c>
      <c r="Q58" s="424">
        <v>0</v>
      </c>
      <c r="R58" s="424">
        <v>0</v>
      </c>
      <c r="S58" s="424"/>
      <c r="T58" s="425"/>
    </row>
    <row r="59" spans="1:20">
      <c r="B59" s="278"/>
      <c r="C59" s="33"/>
      <c r="D59" s="611"/>
      <c r="E59" s="86" t="s">
        <v>45</v>
      </c>
      <c r="F59" s="75"/>
      <c r="G59" s="193">
        <f>+G58+1</f>
        <v>41</v>
      </c>
      <c r="H59" s="423">
        <v>8</v>
      </c>
      <c r="I59" s="424">
        <v>10</v>
      </c>
      <c r="J59" s="424">
        <v>10</v>
      </c>
      <c r="K59" s="424">
        <v>10</v>
      </c>
      <c r="L59" s="424">
        <v>10</v>
      </c>
      <c r="M59" s="424">
        <v>11</v>
      </c>
      <c r="N59" s="424">
        <v>11</v>
      </c>
      <c r="O59" s="424">
        <v>11</v>
      </c>
      <c r="P59" s="424">
        <v>11</v>
      </c>
      <c r="Q59" s="424">
        <v>11</v>
      </c>
      <c r="R59" s="424">
        <v>11</v>
      </c>
      <c r="S59" s="424"/>
      <c r="T59" s="425"/>
    </row>
    <row r="60" spans="1:20" s="1" customFormat="1" ht="15">
      <c r="A60" s="285"/>
      <c r="B60" s="278"/>
      <c r="C60" s="33"/>
      <c r="D60" s="611"/>
      <c r="E60" s="34" t="s">
        <v>87</v>
      </c>
      <c r="F60" s="38"/>
      <c r="G60" s="89">
        <f>+G59+1</f>
        <v>42</v>
      </c>
      <c r="H60" s="19">
        <f>+H58+H59</f>
        <v>8</v>
      </c>
      <c r="I60" s="19">
        <f t="shared" ref="I60:T60" si="5">+I58+I59</f>
        <v>11</v>
      </c>
      <c r="J60" s="19">
        <f t="shared" si="5"/>
        <v>11</v>
      </c>
      <c r="K60" s="19">
        <f t="shared" si="5"/>
        <v>11</v>
      </c>
      <c r="L60" s="19">
        <f t="shared" si="5"/>
        <v>11</v>
      </c>
      <c r="M60" s="19">
        <f t="shared" si="5"/>
        <v>11</v>
      </c>
      <c r="N60" s="19">
        <f t="shared" si="5"/>
        <v>11</v>
      </c>
      <c r="O60" s="19">
        <f t="shared" si="5"/>
        <v>11</v>
      </c>
      <c r="P60" s="19">
        <f t="shared" si="5"/>
        <v>11</v>
      </c>
      <c r="Q60" s="19">
        <f t="shared" si="5"/>
        <v>11</v>
      </c>
      <c r="R60" s="19">
        <f t="shared" si="5"/>
        <v>11</v>
      </c>
      <c r="S60" s="19">
        <f t="shared" si="5"/>
        <v>0</v>
      </c>
      <c r="T60" s="19">
        <f t="shared" si="5"/>
        <v>0</v>
      </c>
    </row>
    <row r="61" spans="1:20">
      <c r="B61" s="278"/>
      <c r="C61" s="230"/>
      <c r="D61" s="611"/>
      <c r="E61" s="86" t="s">
        <v>104</v>
      </c>
      <c r="F61" s="286"/>
      <c r="G61" s="90">
        <f>+G60+1</f>
        <v>43</v>
      </c>
      <c r="H61" s="426">
        <v>0</v>
      </c>
      <c r="I61" s="427">
        <v>4</v>
      </c>
      <c r="J61" s="427">
        <v>4</v>
      </c>
      <c r="K61" s="427">
        <v>4</v>
      </c>
      <c r="L61" s="427">
        <v>4</v>
      </c>
      <c r="M61" s="427">
        <v>4</v>
      </c>
      <c r="N61" s="427">
        <v>4</v>
      </c>
      <c r="O61" s="427">
        <v>4</v>
      </c>
      <c r="P61" s="427">
        <v>4</v>
      </c>
      <c r="Q61" s="427">
        <v>4</v>
      </c>
      <c r="R61" s="427">
        <v>4</v>
      </c>
      <c r="S61" s="427"/>
      <c r="T61" s="428"/>
    </row>
    <row r="62" spans="1:20">
      <c r="B62" s="278"/>
      <c r="C62" s="33"/>
      <c r="D62" s="611"/>
      <c r="E62" s="86" t="s">
        <v>103</v>
      </c>
      <c r="F62" s="75"/>
      <c r="G62" s="338">
        <v>44</v>
      </c>
      <c r="H62" s="429">
        <v>2</v>
      </c>
      <c r="I62" s="429">
        <v>3</v>
      </c>
      <c r="J62" s="429">
        <v>3</v>
      </c>
      <c r="K62" s="429">
        <v>3</v>
      </c>
      <c r="L62" s="429">
        <v>3</v>
      </c>
      <c r="M62" s="429">
        <v>3</v>
      </c>
      <c r="N62" s="429">
        <v>3</v>
      </c>
      <c r="O62" s="429">
        <v>3</v>
      </c>
      <c r="P62" s="429">
        <v>3</v>
      </c>
      <c r="Q62" s="429">
        <v>3</v>
      </c>
      <c r="R62" s="429">
        <v>3</v>
      </c>
      <c r="S62" s="429"/>
      <c r="T62" s="430"/>
    </row>
    <row r="63" spans="1:20">
      <c r="B63" s="278"/>
      <c r="C63" s="33"/>
      <c r="D63" s="126" t="s">
        <v>129</v>
      </c>
      <c r="E63" s="126"/>
      <c r="F63" s="38"/>
      <c r="G63" s="193">
        <v>45</v>
      </c>
      <c r="H63" s="19">
        <f>H60+H62</f>
        <v>10</v>
      </c>
      <c r="I63" s="19">
        <f t="shared" ref="I63:T63" si="6">I60+I62</f>
        <v>14</v>
      </c>
      <c r="J63" s="19">
        <f t="shared" si="6"/>
        <v>14</v>
      </c>
      <c r="K63" s="19">
        <f t="shared" si="6"/>
        <v>14</v>
      </c>
      <c r="L63" s="19">
        <f t="shared" si="6"/>
        <v>14</v>
      </c>
      <c r="M63" s="19">
        <f t="shared" si="6"/>
        <v>14</v>
      </c>
      <c r="N63" s="19">
        <f t="shared" si="6"/>
        <v>14</v>
      </c>
      <c r="O63" s="19">
        <f t="shared" si="6"/>
        <v>14</v>
      </c>
      <c r="P63" s="19">
        <f t="shared" si="6"/>
        <v>14</v>
      </c>
      <c r="Q63" s="19">
        <f t="shared" si="6"/>
        <v>14</v>
      </c>
      <c r="R63" s="19">
        <f t="shared" si="6"/>
        <v>14</v>
      </c>
      <c r="S63" s="19">
        <f t="shared" si="6"/>
        <v>0</v>
      </c>
      <c r="T63" s="19">
        <f t="shared" si="6"/>
        <v>0</v>
      </c>
    </row>
    <row r="64" spans="1:20">
      <c r="B64" s="278"/>
      <c r="C64" s="33" t="s">
        <v>93</v>
      </c>
      <c r="D64" s="231"/>
      <c r="E64" s="94"/>
      <c r="F64" s="94"/>
      <c r="G64" s="13"/>
      <c r="H64" s="407"/>
      <c r="I64" s="407"/>
      <c r="J64" s="407"/>
      <c r="K64" s="407"/>
      <c r="L64" s="407"/>
      <c r="M64" s="407"/>
      <c r="N64" s="431"/>
      <c r="O64" s="407"/>
      <c r="P64" s="407"/>
      <c r="Q64" s="407"/>
      <c r="R64" s="407"/>
      <c r="S64" s="407"/>
      <c r="T64" s="407"/>
    </row>
    <row r="65" spans="1:20">
      <c r="B65" s="278"/>
      <c r="C65" s="33"/>
      <c r="D65" s="599" t="s">
        <v>94</v>
      </c>
      <c r="E65" s="599"/>
      <c r="F65" s="599"/>
      <c r="G65" s="338">
        <v>46</v>
      </c>
      <c r="H65" s="424">
        <v>2</v>
      </c>
      <c r="I65" s="432">
        <v>3</v>
      </c>
      <c r="J65" s="432">
        <v>3</v>
      </c>
      <c r="K65" s="432">
        <v>3</v>
      </c>
      <c r="L65" s="432">
        <v>3</v>
      </c>
      <c r="M65" s="432">
        <v>3</v>
      </c>
      <c r="N65" s="432">
        <v>3</v>
      </c>
      <c r="O65" s="432">
        <v>3</v>
      </c>
      <c r="P65" s="432">
        <v>3</v>
      </c>
      <c r="Q65" s="432">
        <v>3</v>
      </c>
      <c r="R65" s="432">
        <v>3</v>
      </c>
      <c r="S65" s="432"/>
      <c r="T65" s="433"/>
    </row>
    <row r="66" spans="1:20">
      <c r="B66" s="278"/>
      <c r="C66" s="33"/>
      <c r="D66" s="599" t="s">
        <v>95</v>
      </c>
      <c r="E66" s="599"/>
      <c r="F66" s="599"/>
      <c r="G66" s="338">
        <v>47</v>
      </c>
      <c r="H66" s="424">
        <v>0</v>
      </c>
      <c r="I66" s="432">
        <v>0</v>
      </c>
      <c r="J66" s="432">
        <v>0</v>
      </c>
      <c r="K66" s="432">
        <v>0</v>
      </c>
      <c r="L66" s="432">
        <v>0</v>
      </c>
      <c r="M66" s="432">
        <v>0</v>
      </c>
      <c r="N66" s="432">
        <v>0</v>
      </c>
      <c r="O66" s="432">
        <v>0</v>
      </c>
      <c r="P66" s="432">
        <v>0</v>
      </c>
      <c r="Q66" s="432">
        <v>0</v>
      </c>
      <c r="R66" s="432">
        <v>0</v>
      </c>
      <c r="S66" s="432"/>
      <c r="T66" s="433"/>
    </row>
    <row r="67" spans="1:20">
      <c r="B67" s="278"/>
      <c r="C67" s="33" t="s">
        <v>121</v>
      </c>
      <c r="D67" s="231"/>
      <c r="E67" s="94"/>
      <c r="F67" s="94"/>
      <c r="G67" s="13"/>
      <c r="H67" s="407"/>
      <c r="I67" s="407"/>
      <c r="J67" s="407"/>
      <c r="K67" s="407"/>
      <c r="L67" s="407"/>
      <c r="M67" s="407"/>
      <c r="N67" s="431"/>
      <c r="O67" s="407"/>
      <c r="P67" s="407"/>
      <c r="Q67" s="407"/>
      <c r="R67" s="407"/>
      <c r="S67" s="407"/>
      <c r="T67" s="407"/>
    </row>
    <row r="68" spans="1:20">
      <c r="B68" s="278"/>
      <c r="C68" s="33"/>
      <c r="D68" s="599" t="s">
        <v>120</v>
      </c>
      <c r="E68" s="599"/>
      <c r="F68" s="599"/>
      <c r="G68" s="338">
        <v>48</v>
      </c>
      <c r="H68" s="424">
        <v>2</v>
      </c>
      <c r="I68" s="432">
        <v>0</v>
      </c>
      <c r="J68" s="432">
        <v>0</v>
      </c>
      <c r="K68" s="432">
        <v>0</v>
      </c>
      <c r="L68" s="432">
        <v>0</v>
      </c>
      <c r="M68" s="432">
        <v>0</v>
      </c>
      <c r="N68" s="432">
        <v>0</v>
      </c>
      <c r="O68" s="432">
        <v>0</v>
      </c>
      <c r="P68" s="432">
        <v>0</v>
      </c>
      <c r="Q68" s="432">
        <v>0</v>
      </c>
      <c r="R68" s="432">
        <v>0</v>
      </c>
      <c r="S68" s="432"/>
      <c r="T68" s="433"/>
    </row>
    <row r="69" spans="1:20">
      <c r="B69" s="278"/>
      <c r="C69" s="33"/>
      <c r="D69" s="599" t="s">
        <v>122</v>
      </c>
      <c r="E69" s="599"/>
      <c r="F69" s="599"/>
      <c r="G69" s="338">
        <v>49</v>
      </c>
      <c r="H69" s="424">
        <v>2</v>
      </c>
      <c r="I69" s="432">
        <v>0</v>
      </c>
      <c r="J69" s="432">
        <v>0</v>
      </c>
      <c r="K69" s="432">
        <v>0</v>
      </c>
      <c r="L69" s="432">
        <v>0</v>
      </c>
      <c r="M69" s="432">
        <v>0</v>
      </c>
      <c r="N69" s="432">
        <v>0</v>
      </c>
      <c r="O69" s="432">
        <v>0</v>
      </c>
      <c r="P69" s="432">
        <v>0</v>
      </c>
      <c r="Q69" s="432">
        <v>0</v>
      </c>
      <c r="R69" s="432">
        <v>0</v>
      </c>
      <c r="S69" s="432"/>
      <c r="T69" s="433"/>
    </row>
    <row r="70" spans="1:20">
      <c r="B70" s="278"/>
      <c r="C70" s="33"/>
      <c r="D70" s="599" t="s">
        <v>123</v>
      </c>
      <c r="E70" s="599"/>
      <c r="F70" s="599"/>
      <c r="G70" s="338">
        <v>50</v>
      </c>
      <c r="H70" s="424">
        <v>0</v>
      </c>
      <c r="I70" s="432">
        <v>0</v>
      </c>
      <c r="J70" s="432">
        <v>0</v>
      </c>
      <c r="K70" s="432">
        <v>0</v>
      </c>
      <c r="L70" s="432">
        <v>0</v>
      </c>
      <c r="M70" s="432">
        <v>0</v>
      </c>
      <c r="N70" s="432">
        <v>0</v>
      </c>
      <c r="O70" s="432">
        <v>0</v>
      </c>
      <c r="P70" s="432">
        <v>0</v>
      </c>
      <c r="Q70" s="432">
        <v>0</v>
      </c>
      <c r="R70" s="432">
        <v>0</v>
      </c>
      <c r="S70" s="432"/>
      <c r="T70" s="433"/>
    </row>
    <row r="71" spans="1:20">
      <c r="B71" s="278"/>
      <c r="C71" s="33" t="s">
        <v>119</v>
      </c>
      <c r="D71" s="94"/>
      <c r="E71" s="207"/>
      <c r="F71" s="94"/>
      <c r="G71" s="13"/>
      <c r="H71" s="407"/>
      <c r="I71" s="407"/>
      <c r="J71" s="407"/>
      <c r="K71" s="407"/>
      <c r="L71" s="407"/>
      <c r="M71" s="407"/>
      <c r="N71" s="434"/>
      <c r="O71" s="407"/>
      <c r="P71" s="407"/>
      <c r="Q71" s="407"/>
      <c r="R71" s="407"/>
      <c r="S71" s="407"/>
      <c r="T71" s="407"/>
    </row>
    <row r="72" spans="1:20">
      <c r="B72" s="278"/>
      <c r="C72" s="33"/>
      <c r="D72" s="612" t="s">
        <v>46</v>
      </c>
      <c r="E72" s="98" t="s">
        <v>47</v>
      </c>
      <c r="F72" s="75"/>
      <c r="G72" s="338">
        <v>51</v>
      </c>
      <c r="H72" s="423">
        <v>0</v>
      </c>
      <c r="I72" s="424">
        <v>3</v>
      </c>
      <c r="J72" s="424">
        <v>3</v>
      </c>
      <c r="K72" s="424">
        <v>0</v>
      </c>
      <c r="L72" s="424">
        <v>0</v>
      </c>
      <c r="M72" s="424">
        <v>0</v>
      </c>
      <c r="N72" s="424">
        <v>0</v>
      </c>
      <c r="O72" s="424">
        <v>0</v>
      </c>
      <c r="P72" s="424">
        <v>0</v>
      </c>
      <c r="Q72" s="424">
        <v>0</v>
      </c>
      <c r="R72" s="424">
        <v>0</v>
      </c>
      <c r="S72" s="424"/>
      <c r="T72" s="425"/>
    </row>
    <row r="73" spans="1:20">
      <c r="B73" s="278"/>
      <c r="C73" s="33"/>
      <c r="D73" s="612"/>
      <c r="E73" s="98" t="s">
        <v>105</v>
      </c>
      <c r="F73" s="75"/>
      <c r="G73" s="338">
        <f t="shared" ref="G73:G78" si="7">+G72+1</f>
        <v>52</v>
      </c>
      <c r="H73" s="423">
        <v>8</v>
      </c>
      <c r="I73" s="424">
        <v>2</v>
      </c>
      <c r="J73" s="424">
        <v>2</v>
      </c>
      <c r="K73" s="424">
        <v>2</v>
      </c>
      <c r="L73" s="424">
        <v>2</v>
      </c>
      <c r="M73" s="424">
        <v>2</v>
      </c>
      <c r="N73" s="424">
        <v>2</v>
      </c>
      <c r="O73" s="424">
        <v>2</v>
      </c>
      <c r="P73" s="424">
        <v>2</v>
      </c>
      <c r="Q73" s="424">
        <v>2</v>
      </c>
      <c r="R73" s="424">
        <v>2</v>
      </c>
      <c r="S73" s="424"/>
      <c r="T73" s="425"/>
    </row>
    <row r="74" spans="1:20">
      <c r="B74" s="278"/>
      <c r="C74" s="33"/>
      <c r="D74" s="612"/>
      <c r="E74" s="98" t="s">
        <v>48</v>
      </c>
      <c r="F74" s="75"/>
      <c r="G74" s="338">
        <f t="shared" si="7"/>
        <v>53</v>
      </c>
      <c r="H74" s="423">
        <v>2</v>
      </c>
      <c r="I74" s="424">
        <v>5</v>
      </c>
      <c r="J74" s="424">
        <v>5</v>
      </c>
      <c r="K74" s="424">
        <v>5</v>
      </c>
      <c r="L74" s="424">
        <v>5</v>
      </c>
      <c r="M74" s="424">
        <v>5</v>
      </c>
      <c r="N74" s="424">
        <v>5</v>
      </c>
      <c r="O74" s="424">
        <v>5</v>
      </c>
      <c r="P74" s="424">
        <v>5</v>
      </c>
      <c r="Q74" s="424">
        <v>3</v>
      </c>
      <c r="R74" s="424">
        <v>3</v>
      </c>
      <c r="S74" s="424"/>
      <c r="T74" s="425"/>
    </row>
    <row r="75" spans="1:20">
      <c r="B75" s="278"/>
      <c r="C75" s="33"/>
      <c r="D75" s="612"/>
      <c r="E75" s="98" t="s">
        <v>49</v>
      </c>
      <c r="F75" s="75"/>
      <c r="G75" s="338">
        <f t="shared" si="7"/>
        <v>54</v>
      </c>
      <c r="H75" s="423">
        <v>3</v>
      </c>
      <c r="I75" s="424">
        <v>4</v>
      </c>
      <c r="J75" s="424">
        <v>4</v>
      </c>
      <c r="K75" s="424">
        <v>4</v>
      </c>
      <c r="L75" s="424">
        <v>4</v>
      </c>
      <c r="M75" s="424">
        <v>4</v>
      </c>
      <c r="N75" s="424">
        <v>4</v>
      </c>
      <c r="O75" s="424">
        <v>4</v>
      </c>
      <c r="P75" s="424">
        <v>4</v>
      </c>
      <c r="Q75" s="424">
        <v>4</v>
      </c>
      <c r="R75" s="424">
        <v>4</v>
      </c>
      <c r="S75" s="424"/>
      <c r="T75" s="425"/>
    </row>
    <row r="76" spans="1:20">
      <c r="B76" s="278"/>
      <c r="C76" s="33"/>
      <c r="D76" s="612"/>
      <c r="E76" s="98" t="s">
        <v>50</v>
      </c>
      <c r="F76" s="75"/>
      <c r="G76" s="338">
        <f t="shared" si="7"/>
        <v>55</v>
      </c>
      <c r="H76" s="423">
        <v>0</v>
      </c>
      <c r="I76" s="424">
        <v>1</v>
      </c>
      <c r="J76" s="424">
        <v>1</v>
      </c>
      <c r="K76" s="424">
        <v>1</v>
      </c>
      <c r="L76" s="424">
        <v>1</v>
      </c>
      <c r="M76" s="424">
        <v>1</v>
      </c>
      <c r="N76" s="424">
        <v>1</v>
      </c>
      <c r="O76" s="424">
        <v>1</v>
      </c>
      <c r="P76" s="424">
        <v>1</v>
      </c>
      <c r="Q76" s="424">
        <v>1</v>
      </c>
      <c r="R76" s="424">
        <v>1</v>
      </c>
      <c r="S76" s="424"/>
      <c r="T76" s="425"/>
    </row>
    <row r="77" spans="1:20">
      <c r="B77" s="278"/>
      <c r="C77" s="33"/>
      <c r="D77" s="612"/>
      <c r="E77" s="74" t="s">
        <v>51</v>
      </c>
      <c r="F77" s="75"/>
      <c r="G77" s="338">
        <f t="shared" si="7"/>
        <v>56</v>
      </c>
      <c r="H77" s="423">
        <v>0</v>
      </c>
      <c r="I77" s="424">
        <v>0</v>
      </c>
      <c r="J77" s="424">
        <v>0</v>
      </c>
      <c r="K77" s="424">
        <v>0</v>
      </c>
      <c r="L77" s="424">
        <v>0</v>
      </c>
      <c r="M77" s="424">
        <v>0</v>
      </c>
      <c r="N77" s="424">
        <v>0</v>
      </c>
      <c r="O77" s="424">
        <v>0</v>
      </c>
      <c r="P77" s="424">
        <v>0</v>
      </c>
      <c r="Q77" s="424">
        <v>0</v>
      </c>
      <c r="R77" s="424">
        <v>0</v>
      </c>
      <c r="S77" s="424"/>
      <c r="T77" s="425"/>
    </row>
    <row r="78" spans="1:20" s="1" customFormat="1">
      <c r="A78" s="37"/>
      <c r="B78" s="278"/>
      <c r="C78" s="167"/>
      <c r="D78" s="100" t="s">
        <v>130</v>
      </c>
      <c r="E78" s="101"/>
      <c r="F78" s="38"/>
      <c r="G78" s="36">
        <f t="shared" si="7"/>
        <v>57</v>
      </c>
      <c r="H78" s="99">
        <f>SUM(H72:H77)</f>
        <v>13</v>
      </c>
      <c r="I78" s="99">
        <f t="shared" ref="I78:T78" si="8">SUM(I72:I77)</f>
        <v>15</v>
      </c>
      <c r="J78" s="99">
        <f t="shared" si="8"/>
        <v>15</v>
      </c>
      <c r="K78" s="99">
        <f t="shared" si="8"/>
        <v>12</v>
      </c>
      <c r="L78" s="99">
        <f t="shared" si="8"/>
        <v>12</v>
      </c>
      <c r="M78" s="99">
        <f t="shared" si="8"/>
        <v>12</v>
      </c>
      <c r="N78" s="99">
        <f t="shared" si="8"/>
        <v>12</v>
      </c>
      <c r="O78" s="99">
        <f t="shared" si="8"/>
        <v>12</v>
      </c>
      <c r="P78" s="99">
        <f t="shared" si="8"/>
        <v>12</v>
      </c>
      <c r="Q78" s="99">
        <f t="shared" si="8"/>
        <v>10</v>
      </c>
      <c r="R78" s="99">
        <f t="shared" si="8"/>
        <v>10</v>
      </c>
      <c r="S78" s="99">
        <f t="shared" si="8"/>
        <v>0</v>
      </c>
      <c r="T78" s="99">
        <f t="shared" si="8"/>
        <v>0</v>
      </c>
    </row>
    <row r="79" spans="1:20" s="1" customFormat="1">
      <c r="A79" s="37"/>
      <c r="B79" s="278"/>
      <c r="C79" s="33"/>
      <c r="D79" s="100" t="s">
        <v>131</v>
      </c>
      <c r="E79" s="101"/>
      <c r="F79" s="38"/>
      <c r="G79" s="36">
        <v>58</v>
      </c>
      <c r="H79" s="99">
        <f>SUM(H73:H77)</f>
        <v>13</v>
      </c>
      <c r="I79" s="99">
        <f t="shared" ref="I79:T79" si="9">SUM(I73:I77)</f>
        <v>12</v>
      </c>
      <c r="J79" s="99">
        <f t="shared" si="9"/>
        <v>12</v>
      </c>
      <c r="K79" s="99">
        <f t="shared" si="9"/>
        <v>12</v>
      </c>
      <c r="L79" s="99">
        <f t="shared" si="9"/>
        <v>12</v>
      </c>
      <c r="M79" s="99">
        <f t="shared" si="9"/>
        <v>12</v>
      </c>
      <c r="N79" s="99">
        <f t="shared" si="9"/>
        <v>12</v>
      </c>
      <c r="O79" s="99">
        <f t="shared" si="9"/>
        <v>12</v>
      </c>
      <c r="P79" s="99">
        <f t="shared" si="9"/>
        <v>12</v>
      </c>
      <c r="Q79" s="99">
        <f t="shared" si="9"/>
        <v>10</v>
      </c>
      <c r="R79" s="99">
        <f t="shared" si="9"/>
        <v>10</v>
      </c>
      <c r="S79" s="99">
        <f t="shared" si="9"/>
        <v>0</v>
      </c>
      <c r="T79" s="99">
        <f t="shared" si="9"/>
        <v>0</v>
      </c>
    </row>
    <row r="80" spans="1:20">
      <c r="B80" s="278"/>
      <c r="C80" s="33"/>
      <c r="D80" s="607" t="s">
        <v>52</v>
      </c>
      <c r="E80" s="98" t="s">
        <v>113</v>
      </c>
      <c r="F80" s="75"/>
      <c r="G80" s="338">
        <v>59</v>
      </c>
      <c r="H80" s="423">
        <v>1</v>
      </c>
      <c r="I80" s="424">
        <v>1</v>
      </c>
      <c r="J80" s="424">
        <v>1</v>
      </c>
      <c r="K80" s="424">
        <v>1</v>
      </c>
      <c r="L80" s="424">
        <v>1</v>
      </c>
      <c r="M80" s="424">
        <v>1</v>
      </c>
      <c r="N80" s="424">
        <v>1</v>
      </c>
      <c r="O80" s="424">
        <v>1</v>
      </c>
      <c r="P80" s="424">
        <v>1</v>
      </c>
      <c r="Q80" s="424">
        <v>1</v>
      </c>
      <c r="R80" s="424">
        <v>1</v>
      </c>
      <c r="S80" s="424"/>
      <c r="T80" s="425"/>
    </row>
    <row r="81" spans="2:20">
      <c r="B81" s="278"/>
      <c r="C81" s="33"/>
      <c r="D81" s="608"/>
      <c r="E81" s="98" t="s">
        <v>201</v>
      </c>
      <c r="F81" s="75"/>
      <c r="G81" s="338">
        <f t="shared" ref="G81:G96" si="10">+G80+1</f>
        <v>60</v>
      </c>
      <c r="H81" s="423">
        <v>0</v>
      </c>
      <c r="I81" s="424">
        <v>3</v>
      </c>
      <c r="J81" s="424">
        <v>3</v>
      </c>
      <c r="K81" s="424">
        <v>3</v>
      </c>
      <c r="L81" s="424">
        <v>3</v>
      </c>
      <c r="M81" s="424">
        <v>3</v>
      </c>
      <c r="N81" s="424">
        <v>3</v>
      </c>
      <c r="O81" s="424">
        <v>3</v>
      </c>
      <c r="P81" s="424">
        <v>3</v>
      </c>
      <c r="Q81" s="424">
        <v>3</v>
      </c>
      <c r="R81" s="424">
        <v>3</v>
      </c>
      <c r="S81" s="424"/>
      <c r="T81" s="425"/>
    </row>
    <row r="82" spans="2:20">
      <c r="B82" s="278"/>
      <c r="C82" s="33"/>
      <c r="D82" s="608"/>
      <c r="E82" s="98" t="s">
        <v>202</v>
      </c>
      <c r="F82" s="75"/>
      <c r="G82" s="338">
        <f t="shared" si="10"/>
        <v>61</v>
      </c>
      <c r="H82" s="423">
        <v>0</v>
      </c>
      <c r="I82" s="424">
        <v>0</v>
      </c>
      <c r="J82" s="424">
        <v>0</v>
      </c>
      <c r="K82" s="424">
        <v>0</v>
      </c>
      <c r="L82" s="424">
        <v>0</v>
      </c>
      <c r="M82" s="424">
        <v>0</v>
      </c>
      <c r="N82" s="424">
        <v>0</v>
      </c>
      <c r="O82" s="424">
        <v>0</v>
      </c>
      <c r="P82" s="424">
        <v>0</v>
      </c>
      <c r="Q82" s="424">
        <v>0</v>
      </c>
      <c r="R82" s="424">
        <v>0</v>
      </c>
      <c r="S82" s="424"/>
      <c r="T82" s="425"/>
    </row>
    <row r="83" spans="2:20">
      <c r="B83" s="278"/>
      <c r="C83" s="33"/>
      <c r="D83" s="609"/>
      <c r="E83" s="98" t="s">
        <v>203</v>
      </c>
      <c r="F83" s="75"/>
      <c r="G83" s="338">
        <f t="shared" si="10"/>
        <v>62</v>
      </c>
      <c r="H83" s="423">
        <v>4</v>
      </c>
      <c r="I83" s="424">
        <v>1</v>
      </c>
      <c r="J83" s="424">
        <v>1</v>
      </c>
      <c r="K83" s="424">
        <v>1</v>
      </c>
      <c r="L83" s="424">
        <v>1</v>
      </c>
      <c r="M83" s="424">
        <v>1</v>
      </c>
      <c r="N83" s="424">
        <v>1</v>
      </c>
      <c r="O83" s="424">
        <v>1</v>
      </c>
      <c r="P83" s="424">
        <v>1</v>
      </c>
      <c r="Q83" s="424">
        <v>1</v>
      </c>
      <c r="R83" s="424">
        <v>1</v>
      </c>
      <c r="S83" s="424"/>
      <c r="T83" s="425"/>
    </row>
    <row r="84" spans="2:20">
      <c r="B84" s="278"/>
      <c r="C84" s="33"/>
      <c r="D84" s="100" t="s">
        <v>133</v>
      </c>
      <c r="E84" s="101"/>
      <c r="F84" s="38"/>
      <c r="G84" s="36">
        <f t="shared" si="10"/>
        <v>63</v>
      </c>
      <c r="H84" s="99">
        <f t="shared" ref="H84:T84" si="11">SUM(H80:H83)</f>
        <v>5</v>
      </c>
      <c r="I84" s="99">
        <f t="shared" si="11"/>
        <v>5</v>
      </c>
      <c r="J84" s="99">
        <f t="shared" si="11"/>
        <v>5</v>
      </c>
      <c r="K84" s="99">
        <f t="shared" si="11"/>
        <v>5</v>
      </c>
      <c r="L84" s="99">
        <f t="shared" si="11"/>
        <v>5</v>
      </c>
      <c r="M84" s="99">
        <f t="shared" si="11"/>
        <v>5</v>
      </c>
      <c r="N84" s="99">
        <f t="shared" si="11"/>
        <v>5</v>
      </c>
      <c r="O84" s="99">
        <f t="shared" si="11"/>
        <v>5</v>
      </c>
      <c r="P84" s="99">
        <f t="shared" si="11"/>
        <v>5</v>
      </c>
      <c r="Q84" s="99">
        <f t="shared" si="11"/>
        <v>5</v>
      </c>
      <c r="R84" s="99">
        <f t="shared" si="11"/>
        <v>5</v>
      </c>
      <c r="S84" s="99">
        <f t="shared" si="11"/>
        <v>0</v>
      </c>
      <c r="T84" s="99">
        <f t="shared" si="11"/>
        <v>0</v>
      </c>
    </row>
    <row r="85" spans="2:20" ht="13.15" customHeight="1">
      <c r="B85" s="278"/>
      <c r="C85" s="33"/>
      <c r="D85" s="610" t="s">
        <v>53</v>
      </c>
      <c r="E85" s="600" t="s">
        <v>206</v>
      </c>
      <c r="F85" s="601"/>
      <c r="G85" s="338">
        <f t="shared" si="10"/>
        <v>64</v>
      </c>
      <c r="H85" s="423">
        <v>2</v>
      </c>
      <c r="I85" s="424">
        <v>3</v>
      </c>
      <c r="J85" s="424">
        <v>3</v>
      </c>
      <c r="K85" s="424">
        <v>3</v>
      </c>
      <c r="L85" s="424">
        <v>3</v>
      </c>
      <c r="M85" s="424">
        <v>3</v>
      </c>
      <c r="N85" s="424">
        <v>3</v>
      </c>
      <c r="O85" s="424">
        <v>3</v>
      </c>
      <c r="P85" s="424">
        <v>3</v>
      </c>
      <c r="Q85" s="424">
        <v>3</v>
      </c>
      <c r="R85" s="424">
        <v>3</v>
      </c>
      <c r="S85" s="424"/>
      <c r="T85" s="425"/>
    </row>
    <row r="86" spans="2:20">
      <c r="B86" s="278"/>
      <c r="C86" s="33"/>
      <c r="D86" s="610"/>
      <c r="E86" s="98" t="s">
        <v>54</v>
      </c>
      <c r="F86" s="75"/>
      <c r="G86" s="338">
        <f t="shared" si="10"/>
        <v>65</v>
      </c>
      <c r="H86" s="423">
        <v>2</v>
      </c>
      <c r="I86" s="424">
        <v>1</v>
      </c>
      <c r="J86" s="424">
        <v>1</v>
      </c>
      <c r="K86" s="424">
        <v>1</v>
      </c>
      <c r="L86" s="424">
        <v>1</v>
      </c>
      <c r="M86" s="424">
        <v>1</v>
      </c>
      <c r="N86" s="424">
        <v>1</v>
      </c>
      <c r="O86" s="424">
        <v>1</v>
      </c>
      <c r="P86" s="424">
        <v>1</v>
      </c>
      <c r="Q86" s="424">
        <v>1</v>
      </c>
      <c r="R86" s="424">
        <v>1</v>
      </c>
      <c r="S86" s="424"/>
      <c r="T86" s="425"/>
    </row>
    <row r="87" spans="2:20">
      <c r="B87" s="278"/>
      <c r="C87" s="33"/>
      <c r="D87" s="610"/>
      <c r="E87" s="34" t="s">
        <v>134</v>
      </c>
      <c r="F87" s="38"/>
      <c r="G87" s="36">
        <f t="shared" si="10"/>
        <v>66</v>
      </c>
      <c r="H87" s="99">
        <f t="shared" ref="H87:T87" si="12">SUM(H85:H86)</f>
        <v>4</v>
      </c>
      <c r="I87" s="99">
        <f t="shared" si="12"/>
        <v>4</v>
      </c>
      <c r="J87" s="99">
        <f t="shared" si="12"/>
        <v>4</v>
      </c>
      <c r="K87" s="99">
        <f t="shared" si="12"/>
        <v>4</v>
      </c>
      <c r="L87" s="99">
        <f t="shared" si="12"/>
        <v>4</v>
      </c>
      <c r="M87" s="99">
        <f t="shared" si="12"/>
        <v>4</v>
      </c>
      <c r="N87" s="99">
        <f t="shared" si="12"/>
        <v>4</v>
      </c>
      <c r="O87" s="99">
        <f t="shared" si="12"/>
        <v>4</v>
      </c>
      <c r="P87" s="99">
        <f t="shared" si="12"/>
        <v>4</v>
      </c>
      <c r="Q87" s="99">
        <f t="shared" si="12"/>
        <v>4</v>
      </c>
      <c r="R87" s="99">
        <f t="shared" si="12"/>
        <v>4</v>
      </c>
      <c r="S87" s="99">
        <f t="shared" si="12"/>
        <v>0</v>
      </c>
      <c r="T87" s="99">
        <f t="shared" si="12"/>
        <v>0</v>
      </c>
    </row>
    <row r="88" spans="2:20">
      <c r="B88" s="278"/>
      <c r="C88" s="33"/>
      <c r="D88" s="610" t="s">
        <v>55</v>
      </c>
      <c r="E88" s="98" t="s">
        <v>199</v>
      </c>
      <c r="F88" s="38"/>
      <c r="G88" s="338">
        <f t="shared" si="10"/>
        <v>67</v>
      </c>
      <c r="H88" s="423">
        <v>0</v>
      </c>
      <c r="I88" s="424">
        <v>0</v>
      </c>
      <c r="J88" s="424">
        <v>0</v>
      </c>
      <c r="K88" s="424">
        <v>0</v>
      </c>
      <c r="L88" s="424">
        <v>0</v>
      </c>
      <c r="M88" s="424">
        <v>0</v>
      </c>
      <c r="N88" s="424">
        <v>0</v>
      </c>
      <c r="O88" s="424">
        <v>0</v>
      </c>
      <c r="P88" s="424">
        <v>0</v>
      </c>
      <c r="Q88" s="424">
        <v>0</v>
      </c>
      <c r="R88" s="424">
        <v>0</v>
      </c>
      <c r="S88" s="424"/>
      <c r="T88" s="425"/>
    </row>
    <row r="89" spans="2:20">
      <c r="B89" s="278"/>
      <c r="C89" s="33"/>
      <c r="D89" s="610"/>
      <c r="E89" s="98" t="s">
        <v>56</v>
      </c>
      <c r="F89" s="38"/>
      <c r="G89" s="338">
        <f t="shared" si="10"/>
        <v>68</v>
      </c>
      <c r="H89" s="423">
        <v>0</v>
      </c>
      <c r="I89" s="424">
        <v>3</v>
      </c>
      <c r="J89" s="424">
        <v>3</v>
      </c>
      <c r="K89" s="424">
        <v>3</v>
      </c>
      <c r="L89" s="424">
        <v>3</v>
      </c>
      <c r="M89" s="424">
        <v>3</v>
      </c>
      <c r="N89" s="424">
        <v>3</v>
      </c>
      <c r="O89" s="424">
        <v>3</v>
      </c>
      <c r="P89" s="424">
        <v>3</v>
      </c>
      <c r="Q89" s="424">
        <v>3</v>
      </c>
      <c r="R89" s="424">
        <v>3</v>
      </c>
      <c r="S89" s="424"/>
      <c r="T89" s="425"/>
    </row>
    <row r="90" spans="2:20">
      <c r="B90" s="278"/>
      <c r="C90" s="33"/>
      <c r="D90" s="610"/>
      <c r="E90" s="98" t="s">
        <v>200</v>
      </c>
      <c r="F90" s="38"/>
      <c r="G90" s="338">
        <f t="shared" si="10"/>
        <v>69</v>
      </c>
      <c r="H90" s="423">
        <v>0</v>
      </c>
      <c r="I90" s="424">
        <v>1</v>
      </c>
      <c r="J90" s="424">
        <v>1</v>
      </c>
      <c r="K90" s="424">
        <v>1</v>
      </c>
      <c r="L90" s="424">
        <v>1</v>
      </c>
      <c r="M90" s="424">
        <v>1</v>
      </c>
      <c r="N90" s="424">
        <v>1</v>
      </c>
      <c r="O90" s="424">
        <v>1</v>
      </c>
      <c r="P90" s="424">
        <v>1</v>
      </c>
      <c r="Q90" s="424">
        <v>1</v>
      </c>
      <c r="R90" s="424">
        <v>1</v>
      </c>
      <c r="S90" s="424"/>
      <c r="T90" s="425"/>
    </row>
    <row r="91" spans="2:20">
      <c r="B91" s="278"/>
      <c r="C91" s="33"/>
      <c r="D91" s="607" t="s">
        <v>57</v>
      </c>
      <c r="E91" s="98" t="s">
        <v>106</v>
      </c>
      <c r="F91" s="38"/>
      <c r="G91" s="338">
        <f t="shared" si="10"/>
        <v>70</v>
      </c>
      <c r="H91" s="423">
        <v>1</v>
      </c>
      <c r="I91" s="424">
        <v>0</v>
      </c>
      <c r="J91" s="424">
        <v>0</v>
      </c>
      <c r="K91" s="424">
        <v>0</v>
      </c>
      <c r="L91" s="424">
        <v>0</v>
      </c>
      <c r="M91" s="424">
        <v>0</v>
      </c>
      <c r="N91" s="424">
        <v>0</v>
      </c>
      <c r="O91" s="424">
        <v>0</v>
      </c>
      <c r="P91" s="424">
        <v>0</v>
      </c>
      <c r="Q91" s="424">
        <v>0</v>
      </c>
      <c r="R91" s="424">
        <v>0</v>
      </c>
      <c r="S91" s="424"/>
      <c r="T91" s="425"/>
    </row>
    <row r="92" spans="2:20" s="102" customFormat="1">
      <c r="B92" s="278"/>
      <c r="C92" s="33"/>
      <c r="D92" s="608"/>
      <c r="E92" s="98" t="s">
        <v>58</v>
      </c>
      <c r="F92" s="191"/>
      <c r="G92" s="338">
        <f t="shared" si="10"/>
        <v>71</v>
      </c>
      <c r="H92" s="423">
        <v>0</v>
      </c>
      <c r="I92" s="424">
        <v>2</v>
      </c>
      <c r="J92" s="424">
        <v>2</v>
      </c>
      <c r="K92" s="424">
        <v>2</v>
      </c>
      <c r="L92" s="424">
        <v>2</v>
      </c>
      <c r="M92" s="424">
        <v>2</v>
      </c>
      <c r="N92" s="424">
        <v>2</v>
      </c>
      <c r="O92" s="424">
        <v>2</v>
      </c>
      <c r="P92" s="424">
        <v>2</v>
      </c>
      <c r="Q92" s="424">
        <v>2</v>
      </c>
      <c r="R92" s="424">
        <v>2</v>
      </c>
      <c r="S92" s="424"/>
      <c r="T92" s="425"/>
    </row>
    <row r="93" spans="2:20">
      <c r="B93" s="278"/>
      <c r="C93" s="33"/>
      <c r="D93" s="609"/>
      <c r="E93" s="98" t="s">
        <v>207</v>
      </c>
      <c r="F93" s="75"/>
      <c r="G93" s="338">
        <f t="shared" si="10"/>
        <v>72</v>
      </c>
      <c r="H93" s="423">
        <v>1</v>
      </c>
      <c r="I93" s="424">
        <v>0</v>
      </c>
      <c r="J93" s="424">
        <v>0</v>
      </c>
      <c r="K93" s="424">
        <v>0</v>
      </c>
      <c r="L93" s="424">
        <v>0</v>
      </c>
      <c r="M93" s="424">
        <v>0</v>
      </c>
      <c r="N93" s="424">
        <v>0</v>
      </c>
      <c r="O93" s="424">
        <v>0</v>
      </c>
      <c r="P93" s="424">
        <v>0</v>
      </c>
      <c r="Q93" s="424">
        <v>0</v>
      </c>
      <c r="R93" s="424">
        <v>0</v>
      </c>
      <c r="S93" s="424"/>
      <c r="T93" s="425"/>
    </row>
    <row r="94" spans="2:20">
      <c r="B94" s="278"/>
      <c r="C94" s="167"/>
      <c r="D94" s="100" t="s">
        <v>135</v>
      </c>
      <c r="E94" s="101"/>
      <c r="F94" s="38"/>
      <c r="G94" s="36">
        <f t="shared" si="10"/>
        <v>73</v>
      </c>
      <c r="H94" s="99">
        <f>SUM(H91:H93)</f>
        <v>2</v>
      </c>
      <c r="I94" s="99">
        <f t="shared" ref="I94:T94" si="13">SUM(I91:I93)</f>
        <v>2</v>
      </c>
      <c r="J94" s="99">
        <f t="shared" si="13"/>
        <v>2</v>
      </c>
      <c r="K94" s="99">
        <f t="shared" si="13"/>
        <v>2</v>
      </c>
      <c r="L94" s="99">
        <f t="shared" si="13"/>
        <v>2</v>
      </c>
      <c r="M94" s="99">
        <f t="shared" si="13"/>
        <v>2</v>
      </c>
      <c r="N94" s="99">
        <f t="shared" si="13"/>
        <v>2</v>
      </c>
      <c r="O94" s="99">
        <f t="shared" si="13"/>
        <v>2</v>
      </c>
      <c r="P94" s="99">
        <f t="shared" si="13"/>
        <v>2</v>
      </c>
      <c r="Q94" s="99">
        <f t="shared" si="13"/>
        <v>2</v>
      </c>
      <c r="R94" s="99">
        <f t="shared" si="13"/>
        <v>2</v>
      </c>
      <c r="S94" s="99">
        <f t="shared" si="13"/>
        <v>0</v>
      </c>
      <c r="T94" s="99">
        <f t="shared" si="13"/>
        <v>0</v>
      </c>
    </row>
    <row r="95" spans="2:20">
      <c r="B95" s="278"/>
      <c r="C95" s="84"/>
      <c r="D95" s="602" t="s">
        <v>59</v>
      </c>
      <c r="E95" s="603"/>
      <c r="F95" s="604"/>
      <c r="G95" s="338">
        <f t="shared" si="10"/>
        <v>74</v>
      </c>
      <c r="H95" s="423">
        <v>0</v>
      </c>
      <c r="I95" s="429">
        <v>8</v>
      </c>
      <c r="J95" s="429">
        <v>8</v>
      </c>
      <c r="K95" s="429">
        <v>8</v>
      </c>
      <c r="L95" s="429">
        <v>8</v>
      </c>
      <c r="M95" s="429">
        <v>8</v>
      </c>
      <c r="N95" s="429">
        <v>8</v>
      </c>
      <c r="O95" s="429">
        <v>8</v>
      </c>
      <c r="P95" s="429">
        <v>8</v>
      </c>
      <c r="Q95" s="429">
        <v>8</v>
      </c>
      <c r="R95" s="429">
        <v>8</v>
      </c>
      <c r="S95" s="429"/>
      <c r="T95" s="430"/>
    </row>
    <row r="96" spans="2:20" ht="13.5" thickBot="1">
      <c r="B96" s="287"/>
      <c r="C96" s="103"/>
      <c r="D96" s="202" t="s">
        <v>136</v>
      </c>
      <c r="E96" s="104"/>
      <c r="F96" s="105"/>
      <c r="G96" s="106">
        <f t="shared" si="10"/>
        <v>75</v>
      </c>
      <c r="H96" s="107">
        <f>+H78+H84+H87+H94+H95</f>
        <v>24</v>
      </c>
      <c r="I96" s="107">
        <f t="shared" ref="I96:T96" si="14">+I78+I84+I87+I94+I95</f>
        <v>34</v>
      </c>
      <c r="J96" s="107">
        <f t="shared" si="14"/>
        <v>34</v>
      </c>
      <c r="K96" s="107">
        <f t="shared" si="14"/>
        <v>31</v>
      </c>
      <c r="L96" s="107">
        <f t="shared" si="14"/>
        <v>31</v>
      </c>
      <c r="M96" s="107">
        <f t="shared" si="14"/>
        <v>31</v>
      </c>
      <c r="N96" s="107">
        <f t="shared" si="14"/>
        <v>31</v>
      </c>
      <c r="O96" s="107">
        <f t="shared" si="14"/>
        <v>31</v>
      </c>
      <c r="P96" s="107">
        <f t="shared" si="14"/>
        <v>31</v>
      </c>
      <c r="Q96" s="107">
        <f t="shared" si="14"/>
        <v>29</v>
      </c>
      <c r="R96" s="107">
        <f t="shared" si="14"/>
        <v>29</v>
      </c>
      <c r="S96" s="107">
        <f t="shared" si="14"/>
        <v>0</v>
      </c>
      <c r="T96" s="107">
        <f t="shared" si="14"/>
        <v>0</v>
      </c>
    </row>
    <row r="97" spans="1:20">
      <c r="B97" s="278">
        <v>5</v>
      </c>
      <c r="C97" s="33" t="s">
        <v>60</v>
      </c>
      <c r="D97" s="94"/>
      <c r="E97" s="207"/>
      <c r="F97" s="94"/>
      <c r="G97" s="13"/>
      <c r="H97" s="435"/>
      <c r="I97" s="13"/>
      <c r="J97" s="13"/>
      <c r="K97" s="13"/>
      <c r="L97" s="13"/>
      <c r="M97" s="13"/>
      <c r="N97" s="436"/>
      <c r="O97" s="13"/>
      <c r="P97" s="13"/>
      <c r="Q97" s="13"/>
      <c r="R97" s="13"/>
      <c r="S97" s="13"/>
      <c r="T97" s="13"/>
    </row>
    <row r="98" spans="1:20">
      <c r="B98" s="278"/>
      <c r="C98" s="33"/>
      <c r="D98" s="94"/>
      <c r="E98" s="98" t="s">
        <v>61</v>
      </c>
      <c r="F98" s="191"/>
      <c r="G98" s="192">
        <f>+G96+1</f>
        <v>76</v>
      </c>
      <c r="H98" s="468">
        <v>0.85589999999999999</v>
      </c>
      <c r="I98" s="467">
        <v>0.97982345523329129</v>
      </c>
      <c r="J98" s="467">
        <v>0.99197860962566842</v>
      </c>
      <c r="K98" s="467">
        <v>0.99197860962566842</v>
      </c>
      <c r="L98" s="467">
        <v>0.99197860962566842</v>
      </c>
      <c r="M98" s="469">
        <v>0.98405466970387245</v>
      </c>
      <c r="N98" s="582">
        <v>0.99046104928457868</v>
      </c>
      <c r="O98" s="467">
        <v>0.97968069666182878</v>
      </c>
      <c r="P98" s="467">
        <v>0.98408104196816204</v>
      </c>
      <c r="Q98" s="467">
        <v>0.9726858877086495</v>
      </c>
      <c r="R98" s="467">
        <v>0.97231270358306188</v>
      </c>
      <c r="S98" s="467"/>
      <c r="T98" s="469"/>
    </row>
    <row r="99" spans="1:20">
      <c r="B99" s="278"/>
      <c r="C99" s="33"/>
      <c r="D99" s="94"/>
      <c r="E99" s="98" t="s">
        <v>62</v>
      </c>
      <c r="F99" s="191"/>
      <c r="G99" s="192">
        <f>+G98+1</f>
        <v>77</v>
      </c>
      <c r="H99" s="468">
        <v>0.95420000000000005</v>
      </c>
      <c r="I99" s="467">
        <v>0.97991967871485941</v>
      </c>
      <c r="J99" s="467">
        <v>0.99575500303214071</v>
      </c>
      <c r="K99" s="467">
        <v>0.99575500303214071</v>
      </c>
      <c r="L99" s="467">
        <v>0.99575500303214071</v>
      </c>
      <c r="M99" s="469">
        <v>0.99338478500551264</v>
      </c>
      <c r="N99" s="582">
        <v>0.99702602230483273</v>
      </c>
      <c r="O99" s="467">
        <v>0.98030942334739801</v>
      </c>
      <c r="P99" s="467">
        <v>0.98923283983849264</v>
      </c>
      <c r="Q99" s="467">
        <v>0.98269896193771622</v>
      </c>
      <c r="R99" s="467">
        <v>0.98292501855976244</v>
      </c>
      <c r="S99" s="467"/>
      <c r="T99" s="469"/>
    </row>
    <row r="100" spans="1:20" s="113" customFormat="1" ht="13.5" thickBot="1">
      <c r="A100" s="183"/>
      <c r="B100" s="288"/>
      <c r="C100" s="232"/>
      <c r="D100" s="233"/>
      <c r="E100" s="114" t="s">
        <v>63</v>
      </c>
      <c r="F100" s="115"/>
      <c r="G100" s="116">
        <f>+G99+1</f>
        <v>78</v>
      </c>
      <c r="H100" s="437">
        <v>10.6</v>
      </c>
      <c r="I100" s="438" t="s">
        <v>325</v>
      </c>
      <c r="J100" s="438" t="s">
        <v>324</v>
      </c>
      <c r="K100" s="438" t="s">
        <v>323</v>
      </c>
      <c r="L100" s="438" t="s">
        <v>328</v>
      </c>
      <c r="M100" s="439" t="s">
        <v>331</v>
      </c>
      <c r="N100" s="440" t="s">
        <v>381</v>
      </c>
      <c r="O100" s="438" t="s">
        <v>384</v>
      </c>
      <c r="P100" s="438" t="s">
        <v>385</v>
      </c>
      <c r="Q100" s="438" t="s">
        <v>389</v>
      </c>
      <c r="R100" s="438" t="s">
        <v>384</v>
      </c>
      <c r="S100" s="438"/>
      <c r="T100" s="439"/>
    </row>
    <row r="101" spans="1:20" ht="17.25" customHeight="1" thickTop="1">
      <c r="B101" s="278">
        <v>6</v>
      </c>
      <c r="C101" s="33" t="s">
        <v>64</v>
      </c>
      <c r="D101" s="108"/>
      <c r="E101" s="207"/>
      <c r="F101" s="94"/>
      <c r="G101" s="13"/>
      <c r="H101" s="423"/>
      <c r="I101" s="13"/>
      <c r="J101" s="13"/>
      <c r="K101" s="13"/>
      <c r="L101" s="13"/>
      <c r="M101" s="13"/>
      <c r="N101" s="436"/>
      <c r="O101" s="13"/>
      <c r="P101" s="13"/>
      <c r="Q101" s="13"/>
      <c r="R101" s="13"/>
      <c r="S101" s="13"/>
      <c r="T101" s="13"/>
    </row>
    <row r="102" spans="1:20">
      <c r="B102" s="278"/>
      <c r="C102" s="234"/>
      <c r="D102" s="94"/>
      <c r="E102" s="98" t="s">
        <v>65</v>
      </c>
      <c r="F102" s="75"/>
      <c r="G102" s="338">
        <f>+G100+1</f>
        <v>79</v>
      </c>
      <c r="H102" s="423">
        <v>119</v>
      </c>
      <c r="I102" s="424">
        <v>0</v>
      </c>
      <c r="J102" s="424">
        <v>0</v>
      </c>
      <c r="K102" s="424">
        <v>0</v>
      </c>
      <c r="L102" s="424">
        <v>0</v>
      </c>
      <c r="M102" s="425">
        <v>0</v>
      </c>
      <c r="N102" s="429">
        <v>0</v>
      </c>
      <c r="O102" s="424">
        <v>0</v>
      </c>
      <c r="P102" s="424">
        <v>0</v>
      </c>
      <c r="Q102" s="424">
        <v>0</v>
      </c>
      <c r="R102" s="424">
        <v>0</v>
      </c>
      <c r="S102" s="424"/>
      <c r="T102" s="425"/>
    </row>
    <row r="103" spans="1:20">
      <c r="B103" s="278"/>
      <c r="C103" s="234"/>
      <c r="D103" s="94"/>
      <c r="E103" s="98" t="s">
        <v>66</v>
      </c>
      <c r="F103" s="75"/>
      <c r="G103" s="338">
        <f t="shared" ref="G103:G110" si="15">+G102+1</f>
        <v>80</v>
      </c>
      <c r="H103" s="423">
        <v>499</v>
      </c>
      <c r="I103" s="424">
        <v>2181</v>
      </c>
      <c r="J103" s="424">
        <v>2264</v>
      </c>
      <c r="K103" s="424">
        <v>2070</v>
      </c>
      <c r="L103" s="424">
        <v>1603</v>
      </c>
      <c r="M103" s="425">
        <v>1510</v>
      </c>
      <c r="N103" s="429">
        <v>2375</v>
      </c>
      <c r="O103" s="424">
        <v>2084</v>
      </c>
      <c r="P103" s="424">
        <v>2230</v>
      </c>
      <c r="Q103" s="424">
        <v>2115</v>
      </c>
      <c r="R103" s="424">
        <v>1932</v>
      </c>
      <c r="S103" s="424"/>
      <c r="T103" s="425"/>
    </row>
    <row r="104" spans="1:20">
      <c r="B104" s="278"/>
      <c r="C104" s="234"/>
      <c r="D104" s="94"/>
      <c r="E104" s="98" t="s">
        <v>67</v>
      </c>
      <c r="F104" s="75"/>
      <c r="G104" s="338">
        <f t="shared" si="15"/>
        <v>81</v>
      </c>
      <c r="H104" s="423">
        <v>0</v>
      </c>
      <c r="I104" s="424">
        <v>430</v>
      </c>
      <c r="J104" s="424">
        <v>285</v>
      </c>
      <c r="K104" s="424">
        <v>390</v>
      </c>
      <c r="L104" s="424">
        <v>115</v>
      </c>
      <c r="M104" s="425">
        <v>150</v>
      </c>
      <c r="N104" s="429">
        <v>163</v>
      </c>
      <c r="O104" s="424">
        <v>224</v>
      </c>
      <c r="P104" s="424">
        <v>194</v>
      </c>
      <c r="Q104" s="424">
        <v>207</v>
      </c>
      <c r="R104" s="424">
        <v>178</v>
      </c>
      <c r="S104" s="424"/>
      <c r="T104" s="425"/>
    </row>
    <row r="105" spans="1:20" s="37" customFormat="1">
      <c r="B105" s="278"/>
      <c r="C105" s="33"/>
      <c r="D105" s="123"/>
      <c r="E105" s="34" t="s">
        <v>132</v>
      </c>
      <c r="F105" s="38"/>
      <c r="G105" s="36">
        <f>+G104+1</f>
        <v>82</v>
      </c>
      <c r="H105" s="19">
        <f t="shared" ref="H105:T105" si="16">+H102+H103+H104</f>
        <v>618</v>
      </c>
      <c r="I105" s="19">
        <f t="shared" si="16"/>
        <v>2611</v>
      </c>
      <c r="J105" s="19">
        <f t="shared" si="16"/>
        <v>2549</v>
      </c>
      <c r="K105" s="19">
        <f t="shared" si="16"/>
        <v>2460</v>
      </c>
      <c r="L105" s="19">
        <f t="shared" si="16"/>
        <v>1718</v>
      </c>
      <c r="M105" s="19">
        <f t="shared" si="16"/>
        <v>1660</v>
      </c>
      <c r="N105" s="19">
        <f t="shared" si="16"/>
        <v>2538</v>
      </c>
      <c r="O105" s="19">
        <f t="shared" si="16"/>
        <v>2308</v>
      </c>
      <c r="P105" s="19">
        <f t="shared" si="16"/>
        <v>2424</v>
      </c>
      <c r="Q105" s="19">
        <f t="shared" si="16"/>
        <v>2322</v>
      </c>
      <c r="R105" s="19">
        <f t="shared" si="16"/>
        <v>2110</v>
      </c>
      <c r="S105" s="19">
        <f t="shared" si="16"/>
        <v>0</v>
      </c>
      <c r="T105" s="19">
        <f t="shared" si="16"/>
        <v>0</v>
      </c>
    </row>
    <row r="106" spans="1:20">
      <c r="B106" s="278"/>
      <c r="C106" s="234"/>
      <c r="D106" s="94"/>
      <c r="E106" s="98" t="s">
        <v>68</v>
      </c>
      <c r="F106" s="75"/>
      <c r="G106" s="338">
        <f>+G105+1</f>
        <v>83</v>
      </c>
      <c r="H106" s="423">
        <v>90</v>
      </c>
      <c r="I106" s="424">
        <v>199</v>
      </c>
      <c r="J106" s="424">
        <v>225</v>
      </c>
      <c r="K106" s="424">
        <v>178</v>
      </c>
      <c r="L106" s="424">
        <v>154</v>
      </c>
      <c r="M106" s="425">
        <v>133</v>
      </c>
      <c r="N106" s="429">
        <v>199</v>
      </c>
      <c r="O106" s="424">
        <v>193</v>
      </c>
      <c r="P106" s="424">
        <v>294</v>
      </c>
      <c r="Q106" s="424">
        <v>289</v>
      </c>
      <c r="R106" s="424">
        <v>240</v>
      </c>
      <c r="S106" s="424"/>
      <c r="T106" s="425"/>
    </row>
    <row r="107" spans="1:20">
      <c r="B107" s="278"/>
      <c r="C107" s="33" t="s">
        <v>69</v>
      </c>
      <c r="D107" s="108"/>
      <c r="E107" s="207"/>
      <c r="F107" s="94"/>
      <c r="G107" s="13"/>
      <c r="H107" s="223"/>
      <c r="I107" s="13"/>
      <c r="J107" s="13"/>
      <c r="K107" s="13"/>
      <c r="L107" s="13"/>
      <c r="M107" s="13"/>
      <c r="N107" s="441"/>
      <c r="O107" s="13"/>
      <c r="P107" s="13"/>
      <c r="Q107" s="13"/>
      <c r="R107" s="13"/>
      <c r="S107" s="13"/>
      <c r="T107" s="13"/>
    </row>
    <row r="108" spans="1:20">
      <c r="B108" s="278"/>
      <c r="C108" s="33"/>
      <c r="D108" s="108"/>
      <c r="E108" s="34" t="s">
        <v>231</v>
      </c>
      <c r="F108" s="38"/>
      <c r="G108" s="36">
        <f>+G106+1</f>
        <v>84</v>
      </c>
      <c r="H108" s="19">
        <f t="shared" ref="H108:T108" si="17">+H109+H110</f>
        <v>0</v>
      </c>
      <c r="I108" s="19">
        <f t="shared" si="17"/>
        <v>396</v>
      </c>
      <c r="J108" s="19">
        <f t="shared" si="17"/>
        <v>394</v>
      </c>
      <c r="K108" s="19">
        <f t="shared" si="17"/>
        <v>165</v>
      </c>
      <c r="L108" s="19">
        <f t="shared" si="17"/>
        <v>336</v>
      </c>
      <c r="M108" s="19">
        <f t="shared" si="17"/>
        <v>420</v>
      </c>
      <c r="N108" s="19">
        <f t="shared" si="17"/>
        <v>378</v>
      </c>
      <c r="O108" s="19">
        <f t="shared" si="17"/>
        <v>578</v>
      </c>
      <c r="P108" s="19">
        <f t="shared" si="17"/>
        <v>606</v>
      </c>
      <c r="Q108" s="19">
        <f t="shared" si="17"/>
        <v>552</v>
      </c>
      <c r="R108" s="19">
        <f t="shared" si="17"/>
        <v>454</v>
      </c>
      <c r="S108" s="19">
        <f t="shared" si="17"/>
        <v>0</v>
      </c>
      <c r="T108" s="19">
        <f t="shared" si="17"/>
        <v>0</v>
      </c>
    </row>
    <row r="109" spans="1:20">
      <c r="B109" s="278"/>
      <c r="C109" s="234"/>
      <c r="D109" s="94"/>
      <c r="E109" s="127" t="s">
        <v>70</v>
      </c>
      <c r="F109" s="75"/>
      <c r="G109" s="338">
        <f t="shared" si="15"/>
        <v>85</v>
      </c>
      <c r="H109" s="423">
        <v>0</v>
      </c>
      <c r="I109" s="424">
        <v>0</v>
      </c>
      <c r="J109" s="424">
        <v>0</v>
      </c>
      <c r="K109" s="424">
        <v>0</v>
      </c>
      <c r="L109" s="424">
        <v>0</v>
      </c>
      <c r="M109" s="425">
        <v>0</v>
      </c>
      <c r="N109" s="429">
        <v>0</v>
      </c>
      <c r="O109" s="424">
        <v>0</v>
      </c>
      <c r="P109" s="424">
        <v>0</v>
      </c>
      <c r="Q109" s="424">
        <v>0</v>
      </c>
      <c r="R109" s="424">
        <v>0</v>
      </c>
      <c r="S109" s="424"/>
      <c r="T109" s="425"/>
    </row>
    <row r="110" spans="1:20">
      <c r="B110" s="278"/>
      <c r="C110" s="234"/>
      <c r="D110" s="94"/>
      <c r="E110" s="127" t="s">
        <v>71</v>
      </c>
      <c r="F110" s="75"/>
      <c r="G110" s="338">
        <f t="shared" si="15"/>
        <v>86</v>
      </c>
      <c r="H110" s="423">
        <v>0</v>
      </c>
      <c r="I110" s="424">
        <v>396</v>
      </c>
      <c r="J110" s="424">
        <v>394</v>
      </c>
      <c r="K110" s="424">
        <v>165</v>
      </c>
      <c r="L110" s="424">
        <v>336</v>
      </c>
      <c r="M110" s="425">
        <v>420</v>
      </c>
      <c r="N110" s="429">
        <v>378</v>
      </c>
      <c r="O110" s="424">
        <v>578</v>
      </c>
      <c r="P110" s="424">
        <v>606</v>
      </c>
      <c r="Q110" s="424">
        <v>552</v>
      </c>
      <c r="R110" s="424">
        <v>454</v>
      </c>
      <c r="S110" s="424"/>
      <c r="T110" s="425"/>
    </row>
    <row r="111" spans="1:20">
      <c r="B111" s="278"/>
      <c r="C111" s="235"/>
      <c r="D111" s="144"/>
      <c r="E111" s="126" t="s">
        <v>72</v>
      </c>
      <c r="F111" s="128"/>
      <c r="G111" s="36">
        <v>87</v>
      </c>
      <c r="H111" s="442">
        <v>0</v>
      </c>
      <c r="I111" s="424">
        <v>156</v>
      </c>
      <c r="J111" s="424">
        <v>144</v>
      </c>
      <c r="K111" s="424">
        <v>81</v>
      </c>
      <c r="L111" s="424">
        <v>101</v>
      </c>
      <c r="M111" s="425">
        <v>112</v>
      </c>
      <c r="N111" s="429">
        <v>128</v>
      </c>
      <c r="O111" s="424">
        <v>106</v>
      </c>
      <c r="P111" s="424">
        <v>88</v>
      </c>
      <c r="Q111" s="424">
        <v>157</v>
      </c>
      <c r="R111" s="424">
        <v>107</v>
      </c>
      <c r="S111" s="424"/>
      <c r="T111" s="425"/>
    </row>
    <row r="112" spans="1:20">
      <c r="B112" s="278">
        <v>7</v>
      </c>
      <c r="C112" s="33" t="s">
        <v>73</v>
      </c>
      <c r="D112" s="94"/>
      <c r="E112" s="207"/>
      <c r="F112" s="94"/>
      <c r="G112" s="13"/>
      <c r="H112" s="429"/>
      <c r="I112" s="443"/>
      <c r="J112" s="443"/>
      <c r="K112" s="443"/>
      <c r="L112" s="407"/>
      <c r="M112" s="407"/>
      <c r="N112" s="444"/>
      <c r="O112" s="407"/>
      <c r="P112" s="407"/>
      <c r="Q112" s="407"/>
      <c r="R112" s="407"/>
      <c r="S112" s="443"/>
      <c r="T112" s="443"/>
    </row>
    <row r="113" spans="2:20">
      <c r="B113" s="278"/>
      <c r="C113" s="33"/>
      <c r="D113" s="94"/>
      <c r="E113" s="74" t="s">
        <v>74</v>
      </c>
      <c r="F113" s="75"/>
      <c r="G113" s="338">
        <f>+G111+1</f>
        <v>88</v>
      </c>
      <c r="H113" s="429">
        <v>1473</v>
      </c>
      <c r="I113" s="429">
        <v>1956</v>
      </c>
      <c r="J113" s="429">
        <v>1809</v>
      </c>
      <c r="K113" s="429">
        <v>1981</v>
      </c>
      <c r="L113" s="429">
        <v>686</v>
      </c>
      <c r="M113" s="445">
        <v>1214</v>
      </c>
      <c r="N113" s="429">
        <v>1976</v>
      </c>
      <c r="O113" s="429">
        <v>2038</v>
      </c>
      <c r="P113" s="429">
        <v>1739</v>
      </c>
      <c r="Q113" s="429">
        <v>1610</v>
      </c>
      <c r="R113" s="429">
        <v>1645</v>
      </c>
      <c r="S113" s="414"/>
      <c r="T113" s="430"/>
    </row>
    <row r="114" spans="2:20">
      <c r="B114" s="278"/>
      <c r="C114" s="33"/>
      <c r="D114" s="94"/>
      <c r="E114" s="74" t="s">
        <v>75</v>
      </c>
      <c r="F114" s="75"/>
      <c r="G114" s="338">
        <f>+G113+1</f>
        <v>89</v>
      </c>
      <c r="H114" s="429">
        <v>797</v>
      </c>
      <c r="I114" s="429">
        <v>1526</v>
      </c>
      <c r="J114" s="429">
        <v>1450</v>
      </c>
      <c r="K114" s="429">
        <v>1631</v>
      </c>
      <c r="L114" s="429">
        <v>503</v>
      </c>
      <c r="M114" s="429">
        <v>993</v>
      </c>
      <c r="N114" s="429">
        <v>1750</v>
      </c>
      <c r="O114" s="429">
        <v>1778</v>
      </c>
      <c r="P114" s="429">
        <v>1620</v>
      </c>
      <c r="Q114" s="429">
        <v>1435</v>
      </c>
      <c r="R114" s="429">
        <v>1350</v>
      </c>
      <c r="S114" s="414"/>
      <c r="T114" s="430"/>
    </row>
    <row r="115" spans="2:20" ht="13.5" thickBot="1">
      <c r="B115" s="287"/>
      <c r="C115" s="236"/>
      <c r="D115" s="237"/>
      <c r="E115" s="133" t="s">
        <v>76</v>
      </c>
      <c r="F115" s="134"/>
      <c r="G115" s="135">
        <f>+G114+1</f>
        <v>90</v>
      </c>
      <c r="H115" s="446">
        <v>546</v>
      </c>
      <c r="I115" s="447">
        <v>1780</v>
      </c>
      <c r="J115" s="447">
        <v>1752</v>
      </c>
      <c r="K115" s="447">
        <v>1550</v>
      </c>
      <c r="L115" s="447">
        <v>530</v>
      </c>
      <c r="M115" s="447">
        <v>1132</v>
      </c>
      <c r="N115" s="447">
        <v>1722</v>
      </c>
      <c r="O115" s="447">
        <v>1669</v>
      </c>
      <c r="P115" s="447">
        <v>1886</v>
      </c>
      <c r="Q115" s="447">
        <v>1534</v>
      </c>
      <c r="R115" s="447">
        <v>1404</v>
      </c>
      <c r="S115" s="448"/>
      <c r="T115" s="449"/>
    </row>
    <row r="116" spans="2:20" s="102" customFormat="1">
      <c r="B116" s="289"/>
      <c r="C116" s="290"/>
      <c r="D116" s="139"/>
      <c r="E116" s="140"/>
      <c r="F116" s="139"/>
      <c r="G116" s="141"/>
      <c r="H116" s="443"/>
      <c r="I116" s="443"/>
      <c r="J116" s="443"/>
      <c r="K116" s="443"/>
      <c r="L116" s="443"/>
      <c r="M116" s="443"/>
      <c r="N116" s="443"/>
      <c r="O116" s="443"/>
      <c r="P116" s="443"/>
      <c r="Q116" s="443"/>
      <c r="R116" s="443"/>
      <c r="S116" s="407"/>
      <c r="T116" s="407"/>
    </row>
    <row r="117" spans="2:20" s="102" customFormat="1">
      <c r="B117" s="278">
        <v>8</v>
      </c>
      <c r="C117" s="33" t="s">
        <v>107</v>
      </c>
      <c r="D117" s="94"/>
      <c r="E117" s="94"/>
      <c r="F117" s="211"/>
      <c r="G117" s="212"/>
      <c r="H117" s="151"/>
      <c r="I117" s="151"/>
      <c r="J117" s="151"/>
      <c r="K117" s="151"/>
      <c r="L117" s="151"/>
      <c r="M117" s="496"/>
      <c r="N117" s="151"/>
      <c r="O117" s="151"/>
      <c r="P117" s="151"/>
      <c r="Q117" s="151"/>
      <c r="R117" s="151"/>
      <c r="S117" s="151"/>
      <c r="T117" s="151"/>
    </row>
    <row r="118" spans="2:20" s="102" customFormat="1">
      <c r="B118" s="278"/>
      <c r="C118" s="33"/>
      <c r="D118" s="94"/>
      <c r="E118" s="213" t="s">
        <v>108</v>
      </c>
      <c r="F118" s="38"/>
      <c r="G118" s="338">
        <v>91</v>
      </c>
      <c r="H118" s="429">
        <v>100</v>
      </c>
      <c r="I118" s="188">
        <f t="shared" ref="I118:R118" si="18">I22-I10-I45</f>
        <v>1090</v>
      </c>
      <c r="J118" s="188">
        <f t="shared" si="18"/>
        <v>1021</v>
      </c>
      <c r="K118" s="188">
        <f t="shared" si="18"/>
        <v>968</v>
      </c>
      <c r="L118" s="188">
        <f t="shared" si="18"/>
        <v>679</v>
      </c>
      <c r="M118" s="188">
        <f t="shared" si="18"/>
        <v>594</v>
      </c>
      <c r="N118" s="188">
        <f t="shared" si="18"/>
        <v>837</v>
      </c>
      <c r="O118" s="188">
        <f t="shared" si="18"/>
        <v>879</v>
      </c>
      <c r="P118" s="188">
        <f t="shared" si="18"/>
        <v>945</v>
      </c>
      <c r="Q118" s="188">
        <f t="shared" si="18"/>
        <v>904</v>
      </c>
      <c r="R118" s="188">
        <f t="shared" si="18"/>
        <v>814</v>
      </c>
      <c r="S118" s="188"/>
      <c r="T118" s="259"/>
    </row>
    <row r="119" spans="2:20" s="102" customFormat="1">
      <c r="B119" s="278"/>
      <c r="C119" s="33"/>
      <c r="D119" s="94"/>
      <c r="E119" s="213" t="s">
        <v>77</v>
      </c>
      <c r="F119" s="75"/>
      <c r="G119" s="338">
        <f t="shared" ref="G119:G124" si="19">+G118+1</f>
        <v>92</v>
      </c>
      <c r="H119" s="429">
        <v>90</v>
      </c>
      <c r="I119" s="429">
        <v>1056</v>
      </c>
      <c r="J119" s="429">
        <v>984</v>
      </c>
      <c r="K119" s="429">
        <v>903</v>
      </c>
      <c r="L119" s="429">
        <v>679</v>
      </c>
      <c r="M119" s="429">
        <v>593</v>
      </c>
      <c r="N119" s="429">
        <v>856</v>
      </c>
      <c r="O119" s="429">
        <v>906</v>
      </c>
      <c r="P119" s="429">
        <v>926</v>
      </c>
      <c r="Q119" s="429">
        <v>933</v>
      </c>
      <c r="R119" s="429">
        <v>811</v>
      </c>
      <c r="S119" s="429"/>
      <c r="T119" s="430"/>
    </row>
    <row r="120" spans="2:20" s="102" customFormat="1">
      <c r="B120" s="278"/>
      <c r="C120" s="33"/>
      <c r="D120" s="94"/>
      <c r="E120" s="213" t="s">
        <v>109</v>
      </c>
      <c r="F120" s="75"/>
      <c r="G120" s="338">
        <f t="shared" si="19"/>
        <v>93</v>
      </c>
      <c r="H120" s="429">
        <v>1</v>
      </c>
      <c r="I120" s="429">
        <v>17</v>
      </c>
      <c r="J120" s="429">
        <v>18</v>
      </c>
      <c r="K120" s="429">
        <v>18</v>
      </c>
      <c r="L120" s="429">
        <v>6</v>
      </c>
      <c r="M120" s="429">
        <v>6</v>
      </c>
      <c r="N120" s="429">
        <v>15</v>
      </c>
      <c r="O120" s="429">
        <v>5</v>
      </c>
      <c r="P120" s="429">
        <v>14</v>
      </c>
      <c r="Q120" s="429">
        <v>4</v>
      </c>
      <c r="R120" s="429">
        <v>8</v>
      </c>
      <c r="S120" s="429"/>
      <c r="T120" s="430"/>
    </row>
    <row r="121" spans="2:20" s="102" customFormat="1">
      <c r="B121" s="278"/>
      <c r="C121" s="33"/>
      <c r="D121" s="94"/>
      <c r="E121" s="213" t="s">
        <v>110</v>
      </c>
      <c r="F121" s="75"/>
      <c r="G121" s="338">
        <f t="shared" si="19"/>
        <v>94</v>
      </c>
      <c r="H121" s="429">
        <v>1</v>
      </c>
      <c r="I121" s="429">
        <v>7</v>
      </c>
      <c r="J121" s="429">
        <v>5</v>
      </c>
      <c r="K121" s="429">
        <v>9</v>
      </c>
      <c r="L121" s="429">
        <v>3</v>
      </c>
      <c r="M121" s="429">
        <v>2</v>
      </c>
      <c r="N121" s="429">
        <v>5</v>
      </c>
      <c r="O121" s="429">
        <v>2</v>
      </c>
      <c r="P121" s="429">
        <v>4</v>
      </c>
      <c r="Q121" s="429">
        <v>2</v>
      </c>
      <c r="R121" s="429">
        <v>2</v>
      </c>
      <c r="S121" s="429"/>
      <c r="T121" s="430"/>
    </row>
    <row r="122" spans="2:20" s="102" customFormat="1">
      <c r="B122" s="278"/>
      <c r="C122" s="33"/>
      <c r="D122" s="94"/>
      <c r="E122" s="213" t="s">
        <v>111</v>
      </c>
      <c r="F122" s="75"/>
      <c r="G122" s="338">
        <f t="shared" si="19"/>
        <v>95</v>
      </c>
      <c r="H122" s="429">
        <v>1</v>
      </c>
      <c r="I122" s="429">
        <v>7</v>
      </c>
      <c r="J122" s="429">
        <v>5</v>
      </c>
      <c r="K122" s="429">
        <v>9</v>
      </c>
      <c r="L122" s="429">
        <v>4</v>
      </c>
      <c r="M122" s="429">
        <v>2</v>
      </c>
      <c r="N122" s="429">
        <v>5</v>
      </c>
      <c r="O122" s="429">
        <v>2</v>
      </c>
      <c r="P122" s="429">
        <v>4</v>
      </c>
      <c r="Q122" s="429">
        <v>2</v>
      </c>
      <c r="R122" s="429">
        <v>2</v>
      </c>
      <c r="S122" s="429"/>
      <c r="T122" s="430"/>
    </row>
    <row r="123" spans="2:20" s="102" customFormat="1">
      <c r="B123" s="167"/>
      <c r="C123" s="230"/>
      <c r="D123" s="94"/>
      <c r="E123" s="213" t="s">
        <v>78</v>
      </c>
      <c r="F123" s="128"/>
      <c r="G123" s="31">
        <f t="shared" si="19"/>
        <v>96</v>
      </c>
      <c r="H123" s="470">
        <v>1</v>
      </c>
      <c r="I123" s="471">
        <f>I44</f>
        <v>2</v>
      </c>
      <c r="J123" s="471">
        <f t="shared" ref="J123:Q123" si="20">J44</f>
        <v>4</v>
      </c>
      <c r="K123" s="471">
        <f t="shared" si="20"/>
        <v>3</v>
      </c>
      <c r="L123" s="471">
        <f t="shared" si="20"/>
        <v>2</v>
      </c>
      <c r="M123" s="471">
        <f t="shared" si="20"/>
        <v>5</v>
      </c>
      <c r="N123" s="471">
        <f t="shared" si="20"/>
        <v>5</v>
      </c>
      <c r="O123" s="471">
        <f t="shared" si="20"/>
        <v>9</v>
      </c>
      <c r="P123" s="471">
        <f t="shared" si="20"/>
        <v>8</v>
      </c>
      <c r="Q123" s="471">
        <f t="shared" si="20"/>
        <v>4</v>
      </c>
      <c r="R123" s="471">
        <v>1</v>
      </c>
      <c r="S123" s="471"/>
      <c r="T123" s="472"/>
    </row>
    <row r="124" spans="2:20" s="102" customFormat="1">
      <c r="B124" s="291"/>
      <c r="C124" s="142"/>
      <c r="D124" s="144"/>
      <c r="E124" s="340" t="s">
        <v>226</v>
      </c>
      <c r="F124" s="75"/>
      <c r="G124" s="338">
        <f t="shared" si="19"/>
        <v>97</v>
      </c>
      <c r="H124" s="242">
        <f>1-((H120/H119)+(H121/H119)+(H122/H119))</f>
        <v>0.96666666666666667</v>
      </c>
      <c r="I124" s="242">
        <f t="shared" ref="I124:T124" si="21">1-((I120/I119)+(I121/I119)+(I122/I119))</f>
        <v>0.97064393939393945</v>
      </c>
      <c r="J124" s="242">
        <f t="shared" si="21"/>
        <v>0.97154471544715448</v>
      </c>
      <c r="K124" s="242">
        <f t="shared" si="21"/>
        <v>0.96013289036544847</v>
      </c>
      <c r="L124" s="242">
        <f t="shared" si="21"/>
        <v>0.98085419734904267</v>
      </c>
      <c r="M124" s="242">
        <f t="shared" si="21"/>
        <v>0.98313659359190553</v>
      </c>
      <c r="N124" s="242">
        <f t="shared" si="21"/>
        <v>0.97079439252336452</v>
      </c>
      <c r="O124" s="242">
        <f t="shared" si="21"/>
        <v>0.99006622516556286</v>
      </c>
      <c r="P124" s="242">
        <f t="shared" si="21"/>
        <v>0.97624190064794814</v>
      </c>
      <c r="Q124" s="242">
        <f t="shared" si="21"/>
        <v>0.99142550911039662</v>
      </c>
      <c r="R124" s="242">
        <f t="shared" si="21"/>
        <v>0.98520345252774355</v>
      </c>
      <c r="S124" s="242" t="e">
        <f t="shared" si="21"/>
        <v>#DIV/0!</v>
      </c>
      <c r="T124" s="242" t="e">
        <f t="shared" si="21"/>
        <v>#DIV/0!</v>
      </c>
    </row>
    <row r="125" spans="2:20" s="102" customFormat="1">
      <c r="B125" s="278">
        <v>9</v>
      </c>
      <c r="C125" s="238" t="s">
        <v>79</v>
      </c>
      <c r="D125" s="148"/>
      <c r="E125" s="605"/>
      <c r="F125" s="606"/>
      <c r="G125" s="338"/>
      <c r="H125" s="450"/>
      <c r="I125" s="451"/>
      <c r="J125" s="451"/>
      <c r="K125" s="451"/>
      <c r="L125" s="451"/>
      <c r="M125" s="451"/>
      <c r="N125" s="451"/>
      <c r="O125" s="451"/>
      <c r="P125" s="451"/>
      <c r="Q125" s="451"/>
      <c r="R125" s="451"/>
      <c r="S125" s="451"/>
      <c r="T125" s="451"/>
    </row>
    <row r="126" spans="2:20" s="102" customFormat="1">
      <c r="B126" s="278"/>
      <c r="C126" s="33"/>
      <c r="D126" s="33"/>
      <c r="E126" s="86" t="s">
        <v>89</v>
      </c>
      <c r="F126" s="214"/>
      <c r="G126" s="338">
        <v>98</v>
      </c>
      <c r="H126" s="452">
        <v>4.0509259259259259E-2</v>
      </c>
      <c r="I126" s="452">
        <v>4.5403989999999998E-2</v>
      </c>
      <c r="J126" s="452">
        <v>4.4259259259259255E-2</v>
      </c>
      <c r="K126" s="452">
        <v>6.1550925925925926E-2</v>
      </c>
      <c r="L126" s="452">
        <v>0</v>
      </c>
      <c r="M126" s="452">
        <v>0</v>
      </c>
      <c r="N126" s="452">
        <v>0</v>
      </c>
      <c r="O126" s="452">
        <v>0</v>
      </c>
      <c r="P126" s="452">
        <v>0</v>
      </c>
      <c r="Q126" s="452">
        <v>0</v>
      </c>
      <c r="R126" s="452">
        <v>0</v>
      </c>
      <c r="S126" s="452"/>
      <c r="T126" s="452"/>
    </row>
    <row r="127" spans="2:20" s="102" customFormat="1">
      <c r="B127" s="278"/>
      <c r="C127" s="33"/>
      <c r="D127" s="94"/>
      <c r="E127" s="86" t="s">
        <v>90</v>
      </c>
      <c r="F127" s="215"/>
      <c r="G127" s="338">
        <v>99</v>
      </c>
      <c r="H127" s="452">
        <v>8.7060185185185171E-2</v>
      </c>
      <c r="I127" s="453">
        <v>6.6300110465116205E-2</v>
      </c>
      <c r="J127" s="454">
        <v>6.8321759259259263E-2</v>
      </c>
      <c r="K127" s="452">
        <v>8.306712962962963E-2</v>
      </c>
      <c r="L127" s="453">
        <v>9.2766203703703698E-2</v>
      </c>
      <c r="M127" s="454">
        <v>7.8495370370370368E-2</v>
      </c>
      <c r="N127" s="452">
        <v>7.3888888888888893E-2</v>
      </c>
      <c r="O127" s="453">
        <v>8.3668981481481483E-2</v>
      </c>
      <c r="P127" s="453">
        <v>7.4999999999999997E-2</v>
      </c>
      <c r="Q127" s="453">
        <v>6.3460648148148155E-2</v>
      </c>
      <c r="R127" s="453">
        <v>7.5046296296296292E-2</v>
      </c>
      <c r="S127" s="454"/>
      <c r="T127" s="454"/>
    </row>
    <row r="128" spans="2:20" s="102" customFormat="1">
      <c r="B128" s="278"/>
      <c r="C128" s="33"/>
      <c r="D128" s="94"/>
      <c r="E128" s="86" t="s">
        <v>91</v>
      </c>
      <c r="F128" s="215"/>
      <c r="G128" s="338">
        <f>+G127+1</f>
        <v>100</v>
      </c>
      <c r="H128" s="452">
        <v>0.11265046296296295</v>
      </c>
      <c r="I128" s="452">
        <v>9.7923029377545129E-2</v>
      </c>
      <c r="J128" s="452">
        <v>7.991898148148148E-2</v>
      </c>
      <c r="K128" s="452">
        <v>7.8668981481481479E-2</v>
      </c>
      <c r="L128" s="452">
        <v>9.1400462962962961E-2</v>
      </c>
      <c r="M128" s="452">
        <v>9.0798611111111108E-2</v>
      </c>
      <c r="N128" s="452">
        <v>0.10039351851851852</v>
      </c>
      <c r="O128" s="452">
        <v>9.5949074074074089E-2</v>
      </c>
      <c r="P128" s="452">
        <v>8.2546296296296298E-2</v>
      </c>
      <c r="Q128" s="452">
        <v>7.6122685185185182E-2</v>
      </c>
      <c r="R128" s="452">
        <v>8.2870370370370372E-2</v>
      </c>
      <c r="S128" s="452"/>
      <c r="T128" s="452"/>
    </row>
    <row r="129" spans="2:20" s="102" customFormat="1">
      <c r="B129" s="241"/>
      <c r="C129" s="33"/>
      <c r="D129" s="94"/>
      <c r="E129" s="86" t="s">
        <v>92</v>
      </c>
      <c r="F129" s="215"/>
      <c r="G129" s="338">
        <f>+G128+1</f>
        <v>101</v>
      </c>
      <c r="H129" s="452">
        <v>9.6145833333333333E-2</v>
      </c>
      <c r="I129" s="452">
        <v>7.1256205836139105E-2</v>
      </c>
      <c r="J129" s="452">
        <v>8.4895833333333337E-2</v>
      </c>
      <c r="K129" s="452">
        <v>8.9039351851851856E-2</v>
      </c>
      <c r="L129" s="452">
        <v>9.5914351851851862E-2</v>
      </c>
      <c r="M129" s="452">
        <v>9.2673611111111109E-2</v>
      </c>
      <c r="N129" s="452">
        <v>9.600694444444445E-2</v>
      </c>
      <c r="O129" s="452">
        <v>0.1017361111111111</v>
      </c>
      <c r="P129" s="452">
        <v>9.5138888888888884E-2</v>
      </c>
      <c r="Q129" s="452">
        <v>8.3773148148148138E-2</v>
      </c>
      <c r="R129" s="452">
        <v>8.9317129629629621E-2</v>
      </c>
      <c r="S129" s="452"/>
      <c r="T129" s="452"/>
    </row>
    <row r="130" spans="2:20" s="102" customFormat="1">
      <c r="B130" s="49">
        <v>10</v>
      </c>
      <c r="C130" s="238" t="s">
        <v>80</v>
      </c>
      <c r="D130" s="148"/>
      <c r="E130" s="148"/>
      <c r="F130" s="216"/>
      <c r="G130" s="338"/>
      <c r="H130" s="455"/>
      <c r="I130" s="455"/>
      <c r="J130" s="455"/>
      <c r="K130" s="455"/>
      <c r="L130" s="455"/>
      <c r="M130" s="455"/>
      <c r="N130" s="455"/>
      <c r="O130" s="455"/>
      <c r="P130" s="455"/>
      <c r="Q130" s="455"/>
      <c r="R130" s="455"/>
      <c r="S130" s="455"/>
      <c r="T130" s="456"/>
    </row>
    <row r="131" spans="2:20" s="102" customFormat="1">
      <c r="B131" s="278"/>
      <c r="C131" s="230"/>
      <c r="D131" s="186"/>
      <c r="E131" s="50" t="s">
        <v>157</v>
      </c>
      <c r="F131" s="215"/>
      <c r="G131" s="150">
        <v>102</v>
      </c>
      <c r="H131" s="483">
        <v>766</v>
      </c>
      <c r="I131" s="483">
        <v>567</v>
      </c>
      <c r="J131" s="483">
        <v>480</v>
      </c>
      <c r="K131" s="483">
        <v>485</v>
      </c>
      <c r="L131" s="483">
        <v>339</v>
      </c>
      <c r="M131" s="483">
        <v>326</v>
      </c>
      <c r="N131" s="483">
        <v>420</v>
      </c>
      <c r="O131" s="483">
        <v>430</v>
      </c>
      <c r="P131" s="483">
        <v>473</v>
      </c>
      <c r="Q131" s="483">
        <v>480</v>
      </c>
      <c r="R131" s="483">
        <v>423</v>
      </c>
      <c r="S131" s="483"/>
      <c r="T131" s="484"/>
    </row>
    <row r="132" spans="2:20" s="102" customFormat="1">
      <c r="B132" s="278"/>
      <c r="C132" s="230"/>
      <c r="D132" s="186"/>
      <c r="E132" s="50" t="s">
        <v>124</v>
      </c>
      <c r="F132" s="215"/>
      <c r="G132" s="150">
        <v>103</v>
      </c>
      <c r="H132" s="483">
        <v>160</v>
      </c>
      <c r="I132" s="483">
        <v>785</v>
      </c>
      <c r="J132" s="483">
        <v>816</v>
      </c>
      <c r="K132" s="483">
        <v>872</v>
      </c>
      <c r="L132" s="483">
        <v>612</v>
      </c>
      <c r="M132" s="483">
        <v>552</v>
      </c>
      <c r="N132" s="483">
        <v>760</v>
      </c>
      <c r="O132" s="483">
        <v>795</v>
      </c>
      <c r="P132" s="483">
        <v>869</v>
      </c>
      <c r="Q132" s="483">
        <v>822</v>
      </c>
      <c r="R132" s="483">
        <v>760</v>
      </c>
      <c r="S132" s="483"/>
      <c r="T132" s="484"/>
    </row>
    <row r="133" spans="2:20" s="102" customFormat="1">
      <c r="B133" s="241"/>
      <c r="C133" s="142"/>
      <c r="D133" s="144"/>
      <c r="E133" s="50" t="s">
        <v>248</v>
      </c>
      <c r="F133" s="294"/>
      <c r="G133" s="150">
        <v>104</v>
      </c>
      <c r="H133" s="242">
        <f>+H132/(H22-H10-H13-H16)</f>
        <v>0.94674556213017746</v>
      </c>
      <c r="I133" s="242">
        <f t="shared" ref="I133:T133" si="22">+I132/(I22-I10-I13-I16)</f>
        <v>0.72018348623853212</v>
      </c>
      <c r="J133" s="242">
        <f t="shared" si="22"/>
        <v>0.79921645445641532</v>
      </c>
      <c r="K133" s="242">
        <f t="shared" si="22"/>
        <v>0.90082644628099173</v>
      </c>
      <c r="L133" s="242">
        <f t="shared" si="22"/>
        <v>0.90132547864506629</v>
      </c>
      <c r="M133" s="242">
        <f t="shared" si="22"/>
        <v>0.92929292929292928</v>
      </c>
      <c r="N133" s="242">
        <f t="shared" si="22"/>
        <v>0.90800477897252085</v>
      </c>
      <c r="O133" s="242">
        <f t="shared" si="22"/>
        <v>0.90443686006825941</v>
      </c>
      <c r="P133" s="242">
        <f t="shared" si="22"/>
        <v>0.9195767195767196</v>
      </c>
      <c r="Q133" s="242">
        <f t="shared" si="22"/>
        <v>0.90929203539823011</v>
      </c>
      <c r="R133" s="242">
        <f t="shared" si="22"/>
        <v>0.93366093366093361</v>
      </c>
      <c r="S133" s="242" t="e">
        <f t="shared" si="22"/>
        <v>#DIV/0!</v>
      </c>
      <c r="T133" s="242" t="e">
        <f t="shared" si="22"/>
        <v>#DIV/0!</v>
      </c>
    </row>
    <row r="134" spans="2:20" s="102" customFormat="1">
      <c r="B134" s="278">
        <v>11</v>
      </c>
      <c r="C134" s="33" t="s">
        <v>112</v>
      </c>
      <c r="D134" s="94"/>
      <c r="E134" s="94"/>
      <c r="F134" s="217"/>
      <c r="G134" s="150"/>
      <c r="H134" s="457"/>
      <c r="I134" s="457"/>
      <c r="J134" s="457"/>
      <c r="K134" s="457"/>
      <c r="L134" s="457"/>
      <c r="M134" s="457"/>
      <c r="N134" s="457"/>
      <c r="O134" s="457"/>
      <c r="P134" s="457"/>
      <c r="Q134" s="457"/>
      <c r="R134" s="457"/>
      <c r="S134" s="457"/>
      <c r="T134" s="457"/>
    </row>
    <row r="135" spans="2:20" s="102" customFormat="1">
      <c r="B135" s="278"/>
      <c r="C135" s="33"/>
      <c r="D135" s="94"/>
      <c r="E135" s="31" t="s">
        <v>81</v>
      </c>
      <c r="F135" s="218"/>
      <c r="G135" s="150">
        <v>105</v>
      </c>
      <c r="H135" s="476">
        <v>696</v>
      </c>
      <c r="I135" s="476">
        <v>1878</v>
      </c>
      <c r="J135" s="476">
        <v>2177</v>
      </c>
      <c r="K135" s="476">
        <v>2814</v>
      </c>
      <c r="L135" s="477">
        <v>2670</v>
      </c>
      <c r="M135" s="477">
        <v>2654</v>
      </c>
      <c r="N135" s="476">
        <v>2662</v>
      </c>
      <c r="O135" s="477">
        <v>2546</v>
      </c>
      <c r="P135" s="477">
        <v>2898</v>
      </c>
      <c r="Q135" s="477">
        <v>2724</v>
      </c>
      <c r="R135" s="477">
        <v>2777</v>
      </c>
      <c r="S135" s="477"/>
      <c r="T135" s="478"/>
    </row>
    <row r="136" spans="2:20" s="102" customFormat="1">
      <c r="B136" s="278"/>
      <c r="C136" s="33"/>
      <c r="D136" s="94"/>
      <c r="E136" s="31" t="s">
        <v>196</v>
      </c>
      <c r="F136" s="218"/>
      <c r="G136" s="338">
        <f t="shared" ref="G136:G142" si="23">+G135+1</f>
        <v>106</v>
      </c>
      <c r="H136" s="476">
        <v>811</v>
      </c>
      <c r="I136" s="476">
        <v>1875</v>
      </c>
      <c r="J136" s="476">
        <v>2122</v>
      </c>
      <c r="K136" s="476">
        <v>2810</v>
      </c>
      <c r="L136" s="477">
        <v>2627</v>
      </c>
      <c r="M136" s="477">
        <v>2599</v>
      </c>
      <c r="N136" s="476">
        <v>2656</v>
      </c>
      <c r="O136" s="477">
        <v>2461</v>
      </c>
      <c r="P136" s="477">
        <v>2898</v>
      </c>
      <c r="Q136" s="477">
        <v>2724</v>
      </c>
      <c r="R136" s="477">
        <v>2770</v>
      </c>
      <c r="S136" s="477"/>
      <c r="T136" s="478"/>
    </row>
    <row r="137" spans="2:20" s="102" customFormat="1">
      <c r="B137" s="278"/>
      <c r="C137" s="33"/>
      <c r="D137" s="94"/>
      <c r="E137" s="86" t="s">
        <v>83</v>
      </c>
      <c r="F137" s="75"/>
      <c r="G137" s="338">
        <f t="shared" si="23"/>
        <v>107</v>
      </c>
      <c r="H137" s="476">
        <v>402</v>
      </c>
      <c r="I137" s="476">
        <v>1875</v>
      </c>
      <c r="J137" s="382">
        <v>1418</v>
      </c>
      <c r="K137" s="382">
        <v>2810</v>
      </c>
      <c r="L137" s="479">
        <v>2627</v>
      </c>
      <c r="M137" s="479">
        <v>2599</v>
      </c>
      <c r="N137" s="479">
        <v>2656</v>
      </c>
      <c r="O137" s="479">
        <v>2461</v>
      </c>
      <c r="P137" s="479">
        <v>2898</v>
      </c>
      <c r="Q137" s="479">
        <v>1495</v>
      </c>
      <c r="R137" s="479">
        <v>1592</v>
      </c>
      <c r="S137" s="479"/>
      <c r="T137" s="480"/>
    </row>
    <row r="138" spans="2:20" s="102" customFormat="1">
      <c r="B138" s="278"/>
      <c r="C138" s="33"/>
      <c r="D138" s="94"/>
      <c r="E138" s="86" t="s">
        <v>82</v>
      </c>
      <c r="F138" s="50"/>
      <c r="G138" s="338">
        <f t="shared" si="23"/>
        <v>108</v>
      </c>
      <c r="H138" s="476">
        <v>391</v>
      </c>
      <c r="I138" s="476">
        <v>1447</v>
      </c>
      <c r="J138" s="481">
        <v>1146</v>
      </c>
      <c r="K138" s="481">
        <v>1624</v>
      </c>
      <c r="L138" s="481">
        <v>1750</v>
      </c>
      <c r="M138" s="481">
        <v>1570</v>
      </c>
      <c r="N138" s="481">
        <v>1679</v>
      </c>
      <c r="O138" s="481">
        <v>1823</v>
      </c>
      <c r="P138" s="481">
        <v>2380</v>
      </c>
      <c r="Q138" s="481">
        <v>1285</v>
      </c>
      <c r="R138" s="481">
        <v>1354</v>
      </c>
      <c r="S138" s="481"/>
      <c r="T138" s="482"/>
    </row>
    <row r="139" spans="2:20" s="102" customFormat="1">
      <c r="B139" s="292"/>
      <c r="C139" s="239"/>
      <c r="D139" s="186"/>
      <c r="E139" s="86" t="s">
        <v>197</v>
      </c>
      <c r="F139" s="31"/>
      <c r="G139" s="338">
        <f t="shared" si="23"/>
        <v>109</v>
      </c>
      <c r="H139" s="476">
        <v>176</v>
      </c>
      <c r="I139" s="382">
        <v>168</v>
      </c>
      <c r="J139" s="382">
        <v>420</v>
      </c>
      <c r="K139" s="382">
        <v>334</v>
      </c>
      <c r="L139" s="382">
        <v>252</v>
      </c>
      <c r="M139" s="382">
        <v>296</v>
      </c>
      <c r="N139" s="382">
        <v>317</v>
      </c>
      <c r="O139" s="382">
        <v>547</v>
      </c>
      <c r="P139" s="382">
        <v>590</v>
      </c>
      <c r="Q139" s="382">
        <v>269</v>
      </c>
      <c r="R139" s="382">
        <v>396</v>
      </c>
      <c r="S139" s="382"/>
      <c r="T139" s="382"/>
    </row>
    <row r="140" spans="2:20" s="102" customFormat="1">
      <c r="B140" s="279"/>
      <c r="C140" s="156"/>
      <c r="D140" s="94"/>
      <c r="E140" s="86" t="s">
        <v>240</v>
      </c>
      <c r="F140" s="75"/>
      <c r="G140" s="338">
        <f t="shared" si="23"/>
        <v>110</v>
      </c>
      <c r="H140" s="203">
        <f>+H138/H137</f>
        <v>0.97263681592039797</v>
      </c>
      <c r="I140" s="203">
        <f t="shared" ref="I140:T140" si="24">+I138/I137</f>
        <v>0.77173333333333338</v>
      </c>
      <c r="J140" s="203">
        <f t="shared" si="24"/>
        <v>0.80818053596614947</v>
      </c>
      <c r="K140" s="203">
        <f t="shared" si="24"/>
        <v>0.57793594306049823</v>
      </c>
      <c r="L140" s="203">
        <f t="shared" si="24"/>
        <v>0.66615911686334217</v>
      </c>
      <c r="M140" s="203">
        <f t="shared" si="24"/>
        <v>0.60407849172758754</v>
      </c>
      <c r="N140" s="203">
        <f t="shared" si="24"/>
        <v>0.63215361445783136</v>
      </c>
      <c r="O140" s="203">
        <f t="shared" si="24"/>
        <v>0.74075579032913452</v>
      </c>
      <c r="P140" s="203">
        <f t="shared" si="24"/>
        <v>0.82125603864734298</v>
      </c>
      <c r="Q140" s="203">
        <f t="shared" si="24"/>
        <v>0.85953177257525082</v>
      </c>
      <c r="R140" s="203">
        <f t="shared" si="24"/>
        <v>0.85050251256281406</v>
      </c>
      <c r="S140" s="203" t="e">
        <f t="shared" si="24"/>
        <v>#DIV/0!</v>
      </c>
      <c r="T140" s="203" t="e">
        <f t="shared" si="24"/>
        <v>#DIV/0!</v>
      </c>
    </row>
    <row r="141" spans="2:20" s="102" customFormat="1">
      <c r="B141" s="279"/>
      <c r="C141" s="156"/>
      <c r="D141" s="186"/>
      <c r="E141" s="31" t="s">
        <v>238</v>
      </c>
      <c r="F141" s="75"/>
      <c r="G141" s="338">
        <f t="shared" si="23"/>
        <v>111</v>
      </c>
      <c r="H141" s="203">
        <f>+H139/H136</f>
        <v>0.21701602959309493</v>
      </c>
      <c r="I141" s="203">
        <f t="shared" ref="I141:T141" si="25">+I139/I136</f>
        <v>8.9599999999999999E-2</v>
      </c>
      <c r="J141" s="203">
        <f t="shared" si="25"/>
        <v>0.19792648444863337</v>
      </c>
      <c r="K141" s="203">
        <f t="shared" si="25"/>
        <v>0.11886120996441281</v>
      </c>
      <c r="L141" s="203">
        <f t="shared" si="25"/>
        <v>9.5926912828321276E-2</v>
      </c>
      <c r="M141" s="203">
        <f t="shared" si="25"/>
        <v>0.11388995767602925</v>
      </c>
      <c r="N141" s="203">
        <f t="shared" si="25"/>
        <v>0.11935240963855422</v>
      </c>
      <c r="O141" s="203">
        <f t="shared" si="25"/>
        <v>0.22226737098740348</v>
      </c>
      <c r="P141" s="203">
        <f t="shared" si="25"/>
        <v>0.20358868184955142</v>
      </c>
      <c r="Q141" s="203">
        <f t="shared" si="25"/>
        <v>9.8751835535976509E-2</v>
      </c>
      <c r="R141" s="203">
        <f t="shared" si="25"/>
        <v>0.14296028880866427</v>
      </c>
      <c r="S141" s="203" t="e">
        <f t="shared" si="25"/>
        <v>#DIV/0!</v>
      </c>
      <c r="T141" s="203" t="e">
        <f t="shared" si="25"/>
        <v>#DIV/0!</v>
      </c>
    </row>
    <row r="142" spans="2:20" s="102" customFormat="1">
      <c r="B142" s="279"/>
      <c r="C142" s="142"/>
      <c r="D142" s="143"/>
      <c r="E142" s="31" t="s">
        <v>239</v>
      </c>
      <c r="F142" s="75"/>
      <c r="G142" s="338">
        <f t="shared" si="23"/>
        <v>112</v>
      </c>
      <c r="H142" s="203">
        <f>+H139/H36</f>
        <v>0.3613963039014374</v>
      </c>
      <c r="I142" s="203">
        <f t="shared" ref="I142:T142" si="26">+I139/I36</f>
        <v>0.2984014209591474</v>
      </c>
      <c r="J142" s="203">
        <f t="shared" si="26"/>
        <v>0.73170731707317072</v>
      </c>
      <c r="K142" s="203">
        <f t="shared" si="26"/>
        <v>0.60071942446043169</v>
      </c>
      <c r="L142" s="203">
        <f t="shared" si="26"/>
        <v>0.48554913294797686</v>
      </c>
      <c r="M142" s="203">
        <f t="shared" si="26"/>
        <v>0.59437751004016059</v>
      </c>
      <c r="N142" s="203">
        <f t="shared" si="26"/>
        <v>0.46412884333821375</v>
      </c>
      <c r="O142" s="203">
        <f t="shared" si="26"/>
        <v>0.86141732283464567</v>
      </c>
      <c r="P142" s="203">
        <f t="shared" si="26"/>
        <v>0.85507246376811596</v>
      </c>
      <c r="Q142" s="203">
        <f t="shared" si="26"/>
        <v>0.40209267563527651</v>
      </c>
      <c r="R142" s="203">
        <f t="shared" si="26"/>
        <v>0.7186932849364791</v>
      </c>
      <c r="S142" s="203" t="e">
        <f t="shared" si="26"/>
        <v>#DIV/0!</v>
      </c>
      <c r="T142" s="203" t="e">
        <f t="shared" si="26"/>
        <v>#DIV/0!</v>
      </c>
    </row>
    <row r="143" spans="2:20">
      <c r="B143" s="293">
        <v>12</v>
      </c>
      <c r="C143" s="240" t="s">
        <v>88</v>
      </c>
      <c r="D143" s="157"/>
      <c r="E143" s="157"/>
      <c r="F143" s="158"/>
      <c r="G143" s="473"/>
      <c r="H143" s="474"/>
      <c r="I143" s="475">
        <v>194</v>
      </c>
      <c r="J143" s="475">
        <v>188</v>
      </c>
      <c r="K143" s="475">
        <v>191</v>
      </c>
      <c r="L143" s="475">
        <v>167</v>
      </c>
      <c r="M143" s="475">
        <v>143</v>
      </c>
      <c r="N143" s="475">
        <v>146</v>
      </c>
      <c r="O143" s="475">
        <v>156</v>
      </c>
      <c r="P143" s="475">
        <v>155</v>
      </c>
      <c r="Q143" s="475">
        <v>190</v>
      </c>
      <c r="R143" s="475"/>
      <c r="S143" s="475"/>
      <c r="T143" s="475"/>
    </row>
    <row r="144" spans="2:20">
      <c r="B144" s="241"/>
      <c r="C144" s="142"/>
      <c r="D144" s="143"/>
      <c r="E144" s="86" t="s">
        <v>84</v>
      </c>
      <c r="F144" s="75"/>
      <c r="G144" s="338">
        <v>113</v>
      </c>
      <c r="H144" s="246">
        <v>150000</v>
      </c>
      <c r="I144" s="366">
        <f t="shared" ref="I144:Q144" si="27">I143*25%</f>
        <v>48.5</v>
      </c>
      <c r="J144" s="366">
        <f t="shared" si="27"/>
        <v>47</v>
      </c>
      <c r="K144" s="366">
        <f t="shared" si="27"/>
        <v>47.75</v>
      </c>
      <c r="L144" s="366">
        <f t="shared" si="27"/>
        <v>41.75</v>
      </c>
      <c r="M144" s="366">
        <f t="shared" si="27"/>
        <v>35.75</v>
      </c>
      <c r="N144" s="366">
        <f t="shared" si="27"/>
        <v>36.5</v>
      </c>
      <c r="O144" s="366">
        <f t="shared" si="27"/>
        <v>39</v>
      </c>
      <c r="P144" s="366">
        <f t="shared" si="27"/>
        <v>38.75</v>
      </c>
      <c r="Q144" s="366">
        <f t="shared" si="27"/>
        <v>47.5</v>
      </c>
      <c r="R144" s="485"/>
      <c r="S144" s="486"/>
      <c r="T144" s="486"/>
    </row>
    <row r="145" spans="1:20">
      <c r="B145" s="310">
        <v>13</v>
      </c>
      <c r="C145" s="311" t="s">
        <v>236</v>
      </c>
      <c r="D145" s="312"/>
      <c r="E145" s="312"/>
      <c r="F145" s="158"/>
      <c r="G145" s="338">
        <v>114</v>
      </c>
      <c r="H145" s="491">
        <v>1.02</v>
      </c>
      <c r="I145" s="492">
        <v>0.87</v>
      </c>
      <c r="J145" s="492">
        <v>0.78</v>
      </c>
      <c r="K145" s="492">
        <v>0.59</v>
      </c>
      <c r="L145" s="492">
        <v>0.63</v>
      </c>
      <c r="M145" s="492">
        <v>0.51</v>
      </c>
      <c r="N145" s="594">
        <v>1</v>
      </c>
      <c r="O145" s="594">
        <v>0.89</v>
      </c>
      <c r="P145" s="594">
        <v>1.03</v>
      </c>
      <c r="Q145" s="594">
        <v>0.82</v>
      </c>
      <c r="R145" s="594"/>
      <c r="S145" s="487"/>
      <c r="T145" s="487"/>
    </row>
    <row r="146" spans="1:20">
      <c r="B146" s="293">
        <v>14</v>
      </c>
      <c r="C146" s="316" t="s">
        <v>242</v>
      </c>
      <c r="D146" s="317"/>
      <c r="E146" s="317"/>
      <c r="F146" s="317"/>
      <c r="G146" s="338"/>
      <c r="H146" s="314"/>
      <c r="I146" s="487"/>
      <c r="J146" s="487"/>
      <c r="K146" s="487"/>
      <c r="L146" s="487"/>
      <c r="M146" s="487"/>
      <c r="N146" s="487"/>
      <c r="O146" s="487"/>
      <c r="P146" s="487"/>
      <c r="Q146" s="487"/>
      <c r="R146" s="487"/>
      <c r="S146" s="487"/>
      <c r="T146" s="487"/>
    </row>
    <row r="147" spans="1:20">
      <c r="A147" s="186"/>
      <c r="B147" s="278"/>
      <c r="C147" s="33"/>
      <c r="D147" s="186"/>
      <c r="E147" s="148" t="s">
        <v>244</v>
      </c>
      <c r="F147" s="75"/>
      <c r="G147" s="321">
        <v>115</v>
      </c>
      <c r="H147" s="441" t="s">
        <v>247</v>
      </c>
      <c r="I147" s="488">
        <v>487716</v>
      </c>
      <c r="J147" s="488">
        <v>498087</v>
      </c>
      <c r="K147" s="488">
        <v>410185.84499999997</v>
      </c>
      <c r="L147" s="488">
        <v>379897.24699999997</v>
      </c>
      <c r="M147" s="488">
        <f>431442685/1000</f>
        <v>431442.685</v>
      </c>
      <c r="N147" s="488">
        <v>533660</v>
      </c>
      <c r="O147" s="488">
        <v>493309.20199999999</v>
      </c>
      <c r="P147" s="488">
        <v>560462.402</v>
      </c>
      <c r="Q147" s="488">
        <v>518132.79200000002</v>
      </c>
      <c r="R147" s="488">
        <v>442256.60700000002</v>
      </c>
      <c r="S147" s="488"/>
      <c r="T147" s="488"/>
    </row>
    <row r="148" spans="1:20">
      <c r="A148" s="186"/>
      <c r="B148" s="278"/>
      <c r="C148" s="33"/>
      <c r="D148" s="186"/>
      <c r="E148" s="86" t="s">
        <v>243</v>
      </c>
      <c r="F148" s="144"/>
      <c r="G148" s="338">
        <v>116</v>
      </c>
      <c r="H148" s="460">
        <v>0.25</v>
      </c>
      <c r="I148" s="489">
        <v>0.38400000000000001</v>
      </c>
      <c r="J148" s="489">
        <v>0.41499999999999998</v>
      </c>
      <c r="K148" s="489">
        <v>0.40600000000000003</v>
      </c>
      <c r="L148" s="489">
        <v>0.43</v>
      </c>
      <c r="M148" s="489">
        <v>0.41</v>
      </c>
      <c r="N148" s="489">
        <v>0.46</v>
      </c>
      <c r="O148" s="489">
        <v>0.43</v>
      </c>
      <c r="P148" s="489">
        <v>0.449186281372142</v>
      </c>
      <c r="Q148" s="489">
        <v>0.434</v>
      </c>
      <c r="R148" s="489">
        <v>0.43913244445457</v>
      </c>
      <c r="S148" s="489"/>
      <c r="T148" s="489"/>
    </row>
    <row r="149" spans="1:20">
      <c r="A149" s="94"/>
      <c r="B149" s="278"/>
      <c r="C149" s="33"/>
      <c r="D149" s="186"/>
      <c r="E149" s="331" t="s">
        <v>283</v>
      </c>
      <c r="F149" s="332"/>
      <c r="G149" s="334">
        <v>117</v>
      </c>
      <c r="H149" s="461" t="s">
        <v>247</v>
      </c>
      <c r="I149" s="490">
        <v>37088.9</v>
      </c>
      <c r="J149" s="490">
        <v>43649</v>
      </c>
      <c r="K149" s="490">
        <v>27126.7</v>
      </c>
      <c r="L149" s="490">
        <v>28757.5</v>
      </c>
      <c r="M149" s="490">
        <v>19408</v>
      </c>
      <c r="N149" s="490">
        <v>38819</v>
      </c>
      <c r="O149" s="490">
        <v>5731</v>
      </c>
      <c r="P149" s="490">
        <v>9143.009</v>
      </c>
      <c r="Q149" s="490">
        <v>9708.009</v>
      </c>
      <c r="R149" s="334"/>
      <c r="S149" s="462"/>
      <c r="T149" s="462"/>
    </row>
    <row r="150" spans="1:20">
      <c r="A150" s="94"/>
      <c r="B150" s="278"/>
      <c r="C150" s="33"/>
      <c r="D150" s="186"/>
      <c r="E150" s="331" t="s">
        <v>284</v>
      </c>
      <c r="F150" s="332"/>
      <c r="G150" s="334">
        <v>118</v>
      </c>
      <c r="H150" s="461" t="s">
        <v>247</v>
      </c>
      <c r="I150" s="490">
        <v>58530.334999999999</v>
      </c>
      <c r="J150" s="490">
        <v>59142.358999999997</v>
      </c>
      <c r="K150" s="490">
        <v>50475.343999999997</v>
      </c>
      <c r="L150" s="490">
        <v>22779.985000000004</v>
      </c>
      <c r="M150" s="490">
        <v>0</v>
      </c>
      <c r="N150" s="490">
        <v>8514</v>
      </c>
      <c r="O150" s="490">
        <v>14665</v>
      </c>
      <c r="P150" s="490">
        <v>5725.3500000000022</v>
      </c>
      <c r="Q150" s="490">
        <v>15323.991000000002</v>
      </c>
      <c r="R150" s="334"/>
      <c r="S150" s="462"/>
      <c r="T150" s="462"/>
    </row>
    <row r="151" spans="1:20">
      <c r="B151" s="49">
        <v>15</v>
      </c>
      <c r="C151" s="327" t="s">
        <v>267</v>
      </c>
      <c r="D151" s="303"/>
      <c r="E151" s="86"/>
      <c r="F151" s="75"/>
      <c r="G151" s="338"/>
      <c r="H151" s="354"/>
      <c r="I151" s="458"/>
      <c r="J151" s="458"/>
      <c r="K151" s="458"/>
      <c r="L151" s="459"/>
      <c r="M151" s="459"/>
      <c r="N151" s="354"/>
      <c r="O151" s="459"/>
      <c r="P151" s="459"/>
      <c r="Q151" s="459"/>
      <c r="R151" s="459"/>
      <c r="S151" s="458"/>
      <c r="T151" s="458"/>
    </row>
    <row r="152" spans="1:20">
      <c r="B152" s="278"/>
      <c r="C152" s="230"/>
      <c r="D152" s="186"/>
      <c r="E152" s="86" t="s">
        <v>268</v>
      </c>
      <c r="F152" s="75"/>
      <c r="G152" s="338">
        <v>119</v>
      </c>
      <c r="H152" s="354">
        <v>150</v>
      </c>
      <c r="I152" s="458">
        <v>813</v>
      </c>
      <c r="J152" s="458">
        <v>773</v>
      </c>
      <c r="K152" s="458">
        <v>683</v>
      </c>
      <c r="L152" s="459">
        <v>489</v>
      </c>
      <c r="M152" s="459">
        <v>532</v>
      </c>
      <c r="N152" s="354">
        <v>787</v>
      </c>
      <c r="O152" s="459">
        <v>847</v>
      </c>
      <c r="P152" s="459">
        <v>886</v>
      </c>
      <c r="Q152" s="459">
        <v>1019</v>
      </c>
      <c r="R152" s="459">
        <v>870</v>
      </c>
      <c r="S152" s="458"/>
      <c r="T152" s="458"/>
    </row>
    <row r="153" spans="1:20">
      <c r="B153" s="278"/>
      <c r="C153" s="230"/>
      <c r="D153" s="186"/>
      <c r="E153" s="86" t="s">
        <v>285</v>
      </c>
      <c r="F153" s="328"/>
      <c r="G153" s="338">
        <v>120</v>
      </c>
      <c r="H153" s="203">
        <f>H152/(H21-H1-H4-H31)</f>
        <v>1.5306122448979591</v>
      </c>
      <c r="I153" s="203">
        <f>I152/(I22-I10-I45-I13-I16)</f>
        <v>0.74587155963302754</v>
      </c>
      <c r="J153" s="203">
        <f t="shared" ref="J153:T153" si="28">J152/(J22-J10-J45-J13-J16)</f>
        <v>0.75710088148873655</v>
      </c>
      <c r="K153" s="203">
        <f t="shared" si="28"/>
        <v>0.70557851239669422</v>
      </c>
      <c r="L153" s="203">
        <f t="shared" si="28"/>
        <v>0.72017673048600883</v>
      </c>
      <c r="M153" s="203">
        <f t="shared" si="28"/>
        <v>0.89562289562289565</v>
      </c>
      <c r="N153" s="203">
        <f t="shared" si="28"/>
        <v>0.94026284348864997</v>
      </c>
      <c r="O153" s="203">
        <f t="shared" si="28"/>
        <v>0.96359499431171791</v>
      </c>
      <c r="P153" s="203">
        <f t="shared" si="28"/>
        <v>0.9375661375661376</v>
      </c>
      <c r="Q153" s="203">
        <f t="shared" si="28"/>
        <v>1.127212389380531</v>
      </c>
      <c r="R153" s="203">
        <f t="shared" si="28"/>
        <v>1.0687960687960687</v>
      </c>
      <c r="S153" s="203" t="e">
        <f t="shared" si="28"/>
        <v>#DIV/0!</v>
      </c>
      <c r="T153" s="203" t="e">
        <f t="shared" si="28"/>
        <v>#DIV/0!</v>
      </c>
    </row>
    <row r="154" spans="1:20">
      <c r="B154" s="278"/>
      <c r="C154" s="230"/>
      <c r="D154" s="186"/>
      <c r="E154" s="86" t="s">
        <v>271</v>
      </c>
      <c r="F154" s="75"/>
      <c r="G154" s="338">
        <v>121</v>
      </c>
      <c r="H154" s="354">
        <v>125</v>
      </c>
      <c r="I154" s="458">
        <v>813</v>
      </c>
      <c r="J154" s="458">
        <v>773</v>
      </c>
      <c r="K154" s="458">
        <v>683</v>
      </c>
      <c r="L154" s="459">
        <v>489</v>
      </c>
      <c r="M154" s="459">
        <v>532</v>
      </c>
      <c r="N154" s="354">
        <v>787</v>
      </c>
      <c r="O154" s="459">
        <v>847</v>
      </c>
      <c r="P154" s="459">
        <v>886</v>
      </c>
      <c r="Q154" s="459">
        <v>1019</v>
      </c>
      <c r="R154" s="459">
        <v>870</v>
      </c>
      <c r="S154" s="458"/>
      <c r="T154" s="458"/>
    </row>
    <row r="155" spans="1:20">
      <c r="B155" s="241"/>
      <c r="C155" s="142"/>
      <c r="D155" s="144"/>
      <c r="E155" s="86" t="s">
        <v>286</v>
      </c>
      <c r="F155" s="328"/>
      <c r="G155" s="338">
        <v>122</v>
      </c>
      <c r="H155" s="203">
        <f>H154/(H13-H1-H4-H7)</f>
        <v>0.73529411764705888</v>
      </c>
      <c r="I155" s="203">
        <f>I154/(I22-I10-I45-I13-I16)</f>
        <v>0.74587155963302754</v>
      </c>
      <c r="J155" s="203">
        <f t="shared" ref="J155:T155" si="29">J154/(J22-J10-J45-J13-J16)</f>
        <v>0.75710088148873655</v>
      </c>
      <c r="K155" s="203">
        <f t="shared" si="29"/>
        <v>0.70557851239669422</v>
      </c>
      <c r="L155" s="203">
        <f t="shared" si="29"/>
        <v>0.72017673048600883</v>
      </c>
      <c r="M155" s="203">
        <f t="shared" si="29"/>
        <v>0.89562289562289565</v>
      </c>
      <c r="N155" s="203">
        <f t="shared" si="29"/>
        <v>0.94026284348864997</v>
      </c>
      <c r="O155" s="203">
        <f t="shared" si="29"/>
        <v>0.96359499431171791</v>
      </c>
      <c r="P155" s="203">
        <f t="shared" si="29"/>
        <v>0.9375661375661376</v>
      </c>
      <c r="Q155" s="203">
        <f t="shared" si="29"/>
        <v>1.127212389380531</v>
      </c>
      <c r="R155" s="203">
        <f t="shared" si="29"/>
        <v>1.0687960687960687</v>
      </c>
      <c r="S155" s="203" t="e">
        <f t="shared" si="29"/>
        <v>#DIV/0!</v>
      </c>
      <c r="T155" s="203" t="e">
        <f t="shared" si="29"/>
        <v>#DIV/0!</v>
      </c>
    </row>
    <row r="156" spans="1:20">
      <c r="B156" s="49">
        <v>16</v>
      </c>
      <c r="C156" s="327" t="s">
        <v>274</v>
      </c>
      <c r="D156" s="303"/>
      <c r="E156" s="86"/>
      <c r="F156" s="75"/>
      <c r="G156" s="338"/>
      <c r="H156" s="354"/>
      <c r="I156" s="458"/>
      <c r="J156" s="458"/>
      <c r="K156" s="458"/>
      <c r="L156" s="459"/>
      <c r="M156" s="459"/>
      <c r="N156" s="354"/>
      <c r="O156" s="459"/>
      <c r="P156" s="459"/>
      <c r="Q156" s="459"/>
      <c r="R156" s="459"/>
      <c r="S156" s="458"/>
      <c r="T156" s="458"/>
    </row>
    <row r="157" spans="1:20">
      <c r="B157" s="278"/>
      <c r="C157" s="230"/>
      <c r="D157" s="186"/>
      <c r="E157" s="86" t="s">
        <v>275</v>
      </c>
      <c r="F157" s="75"/>
      <c r="G157" s="338">
        <v>123</v>
      </c>
      <c r="H157" s="354"/>
      <c r="I157" s="458">
        <v>19</v>
      </c>
      <c r="J157" s="458">
        <v>58</v>
      </c>
      <c r="K157" s="458">
        <v>20</v>
      </c>
      <c r="L157" s="459">
        <v>17</v>
      </c>
      <c r="M157" s="459">
        <v>24</v>
      </c>
      <c r="N157" s="354">
        <v>77</v>
      </c>
      <c r="O157" s="459">
        <v>45</v>
      </c>
      <c r="P157" s="459">
        <v>72</v>
      </c>
      <c r="Q157" s="459">
        <v>51</v>
      </c>
      <c r="R157" s="459">
        <v>25</v>
      </c>
      <c r="S157" s="458"/>
      <c r="T157" s="458"/>
    </row>
    <row r="158" spans="1:20">
      <c r="B158" s="278"/>
      <c r="C158" s="230"/>
      <c r="D158" s="186"/>
      <c r="E158" s="86" t="s">
        <v>276</v>
      </c>
      <c r="F158" s="328"/>
      <c r="G158" s="338">
        <v>124</v>
      </c>
      <c r="H158" s="463"/>
      <c r="I158" s="458">
        <v>1</v>
      </c>
      <c r="J158" s="458">
        <v>0</v>
      </c>
      <c r="K158" s="458">
        <v>1</v>
      </c>
      <c r="L158" s="459">
        <v>0</v>
      </c>
      <c r="M158" s="459">
        <v>0</v>
      </c>
      <c r="N158" s="354">
        <v>0</v>
      </c>
      <c r="O158" s="459">
        <v>0</v>
      </c>
      <c r="P158" s="459">
        <v>0</v>
      </c>
      <c r="Q158" s="459">
        <v>2</v>
      </c>
      <c r="R158" s="459">
        <v>0</v>
      </c>
      <c r="S158" s="458"/>
      <c r="T158" s="458"/>
    </row>
    <row r="159" spans="1:20">
      <c r="B159" s="278"/>
      <c r="C159" s="230"/>
      <c r="D159" s="186"/>
      <c r="E159" s="86" t="s">
        <v>277</v>
      </c>
      <c r="F159" s="75"/>
      <c r="G159" s="338">
        <v>125</v>
      </c>
      <c r="H159" s="354"/>
      <c r="I159" s="458">
        <v>344</v>
      </c>
      <c r="J159" s="458">
        <v>250</v>
      </c>
      <c r="K159" s="458">
        <v>187</v>
      </c>
      <c r="L159" s="459">
        <v>218</v>
      </c>
      <c r="M159" s="459">
        <v>252</v>
      </c>
      <c r="N159" s="354">
        <v>236</v>
      </c>
      <c r="O159" s="459">
        <v>23</v>
      </c>
      <c r="P159" s="459">
        <v>316</v>
      </c>
      <c r="Q159" s="459">
        <v>212</v>
      </c>
      <c r="R159" s="459">
        <v>253</v>
      </c>
      <c r="S159" s="458"/>
      <c r="T159" s="458"/>
    </row>
    <row r="160" spans="1:20">
      <c r="B160" s="241"/>
      <c r="C160" s="142"/>
      <c r="D160" s="144"/>
      <c r="E160" s="86" t="s">
        <v>278</v>
      </c>
      <c r="F160" s="328"/>
      <c r="G160" s="338">
        <v>126</v>
      </c>
      <c r="H160" s="463"/>
      <c r="I160" s="458">
        <v>94</v>
      </c>
      <c r="J160" s="458">
        <v>39</v>
      </c>
      <c r="K160" s="458">
        <v>18</v>
      </c>
      <c r="L160" s="459">
        <v>25</v>
      </c>
      <c r="M160" s="459">
        <v>40</v>
      </c>
      <c r="N160" s="354">
        <v>27</v>
      </c>
      <c r="O160" s="459">
        <v>47</v>
      </c>
      <c r="P160" s="459">
        <v>84</v>
      </c>
      <c r="Q160" s="459">
        <v>62</v>
      </c>
      <c r="R160" s="459">
        <v>66</v>
      </c>
      <c r="S160" s="458"/>
      <c r="T160" s="458"/>
    </row>
    <row r="161" spans="2:20" s="584" customFormat="1">
      <c r="B161" s="585"/>
      <c r="C161" s="586"/>
      <c r="D161" s="587"/>
      <c r="E161" s="331" t="s">
        <v>386</v>
      </c>
      <c r="F161" s="588"/>
      <c r="G161" s="334">
        <v>127</v>
      </c>
      <c r="H161" s="351"/>
      <c r="I161" s="350"/>
      <c r="J161" s="350"/>
      <c r="K161" s="350"/>
      <c r="L161" s="351"/>
      <c r="M161" s="351"/>
      <c r="N161" s="351"/>
      <c r="O161" s="351"/>
      <c r="P161" s="593">
        <v>0.86499999999999999</v>
      </c>
      <c r="Q161" s="593">
        <v>0.89239999999999997</v>
      </c>
      <c r="R161" s="593">
        <v>0.79259999999999997</v>
      </c>
      <c r="S161" s="350"/>
      <c r="T161" s="350"/>
    </row>
    <row r="162" spans="2:20" s="584" customFormat="1">
      <c r="B162" s="585"/>
      <c r="C162" s="586"/>
      <c r="D162" s="587"/>
      <c r="E162" s="331" t="s">
        <v>387</v>
      </c>
      <c r="F162" s="589"/>
      <c r="G162" s="334">
        <v>128</v>
      </c>
      <c r="H162" s="590"/>
      <c r="I162" s="350"/>
      <c r="J162" s="350"/>
      <c r="K162" s="350"/>
      <c r="L162" s="351"/>
      <c r="M162" s="351"/>
      <c r="N162" s="351"/>
      <c r="O162" s="351"/>
      <c r="P162" s="593">
        <v>0.26700000000000002</v>
      </c>
      <c r="Q162" s="593">
        <v>0.29199999999999998</v>
      </c>
      <c r="R162" s="593">
        <v>0.26100000000000001</v>
      </c>
      <c r="S162" s="350"/>
      <c r="T162" s="350"/>
    </row>
    <row r="163" spans="2:20" s="584" customFormat="1">
      <c r="B163" s="591"/>
      <c r="C163" s="592"/>
      <c r="D163" s="332"/>
      <c r="E163" s="331" t="s">
        <v>388</v>
      </c>
      <c r="F163" s="589"/>
      <c r="G163" s="334">
        <v>129</v>
      </c>
      <c r="H163" s="590"/>
      <c r="I163" s="350"/>
      <c r="J163" s="350"/>
      <c r="K163" s="350"/>
      <c r="L163" s="351"/>
      <c r="M163" s="351"/>
      <c r="N163" s="351"/>
      <c r="O163" s="351"/>
      <c r="P163" s="334">
        <v>0</v>
      </c>
      <c r="Q163" s="334">
        <v>0</v>
      </c>
      <c r="R163" s="334">
        <v>0</v>
      </c>
      <c r="S163" s="350"/>
      <c r="T163" s="350"/>
    </row>
    <row r="164" spans="2:20">
      <c r="B164" s="293">
        <v>17</v>
      </c>
      <c r="C164" s="344" t="s">
        <v>293</v>
      </c>
      <c r="D164" s="345"/>
      <c r="E164" s="346"/>
      <c r="F164" s="158"/>
      <c r="G164" s="338"/>
      <c r="H164" s="463"/>
      <c r="I164" s="458"/>
      <c r="J164" s="458"/>
      <c r="K164" s="458"/>
      <c r="L164" s="459"/>
      <c r="M164" s="459"/>
      <c r="N164" s="354"/>
      <c r="O164" s="459"/>
      <c r="P164" s="459"/>
      <c r="Q164" s="459"/>
      <c r="R164" s="459"/>
      <c r="S164" s="458"/>
      <c r="T164" s="458"/>
    </row>
    <row r="165" spans="2:20">
      <c r="B165" s="278"/>
      <c r="C165" s="230"/>
      <c r="D165" s="186"/>
      <c r="E165" s="86" t="s">
        <v>294</v>
      </c>
      <c r="F165" s="186"/>
      <c r="G165" s="338">
        <v>127</v>
      </c>
      <c r="H165" s="59">
        <v>900</v>
      </c>
      <c r="I165" s="458">
        <v>70</v>
      </c>
      <c r="J165" s="458">
        <v>65</v>
      </c>
      <c r="K165" s="458">
        <v>69</v>
      </c>
      <c r="L165" s="459">
        <v>60</v>
      </c>
      <c r="M165" s="459">
        <v>199</v>
      </c>
      <c r="N165" s="354">
        <v>65</v>
      </c>
      <c r="O165" s="459">
        <v>70</v>
      </c>
      <c r="P165" s="459">
        <v>68</v>
      </c>
      <c r="Q165" s="459">
        <v>70</v>
      </c>
      <c r="R165" s="459">
        <v>75</v>
      </c>
      <c r="S165" s="458"/>
      <c r="T165" s="458"/>
    </row>
    <row r="166" spans="2:20">
      <c r="B166" s="241"/>
      <c r="C166" s="142"/>
      <c r="D166" s="144"/>
      <c r="E166" s="86" t="s">
        <v>295</v>
      </c>
      <c r="F166" s="75"/>
      <c r="G166" s="338">
        <v>128</v>
      </c>
      <c r="H166" s="354">
        <v>100</v>
      </c>
      <c r="I166" s="488">
        <v>4830</v>
      </c>
      <c r="J166" s="488">
        <v>4761</v>
      </c>
      <c r="K166" s="488">
        <v>4968</v>
      </c>
      <c r="L166" s="488">
        <v>4756</v>
      </c>
      <c r="M166" s="488">
        <v>4851</v>
      </c>
      <c r="N166" s="354">
        <v>4840</v>
      </c>
      <c r="O166" s="459">
        <v>4890</v>
      </c>
      <c r="P166" s="459">
        <v>4830</v>
      </c>
      <c r="Q166" s="459">
        <v>4910</v>
      </c>
      <c r="R166" s="459">
        <v>4980</v>
      </c>
      <c r="S166" s="458"/>
      <c r="T166" s="458"/>
    </row>
    <row r="167" spans="2:20">
      <c r="B167" s="293">
        <v>18</v>
      </c>
      <c r="C167" s="238" t="s">
        <v>296</v>
      </c>
      <c r="D167" s="286"/>
      <c r="G167" s="338"/>
      <c r="H167" s="464"/>
      <c r="I167" s="458"/>
      <c r="J167" s="458"/>
      <c r="K167" s="458"/>
      <c r="L167" s="459"/>
      <c r="M167" s="459"/>
      <c r="N167" s="354"/>
      <c r="O167" s="459"/>
      <c r="P167" s="459"/>
      <c r="Q167" s="459"/>
      <c r="R167" s="459"/>
      <c r="S167" s="458"/>
      <c r="T167" s="458"/>
    </row>
    <row r="168" spans="2:20">
      <c r="B168" s="347"/>
      <c r="C168" s="230"/>
      <c r="D168" s="186"/>
      <c r="E168" s="86" t="s">
        <v>297</v>
      </c>
      <c r="F168" s="75"/>
      <c r="G168" s="338">
        <v>129</v>
      </c>
      <c r="H168" s="465">
        <v>100</v>
      </c>
      <c r="I168" s="458">
        <v>480</v>
      </c>
      <c r="J168" s="458">
        <v>559</v>
      </c>
      <c r="K168" s="458">
        <v>569</v>
      </c>
      <c r="L168" s="459">
        <v>491</v>
      </c>
      <c r="M168" s="459">
        <v>331</v>
      </c>
      <c r="N168" s="354">
        <v>426</v>
      </c>
      <c r="O168" s="459">
        <f>500-57</f>
        <v>443</v>
      </c>
      <c r="P168" s="459">
        <v>458</v>
      </c>
      <c r="Q168" s="459">
        <v>445</v>
      </c>
      <c r="R168" s="459">
        <v>355</v>
      </c>
      <c r="S168" s="458"/>
      <c r="T168" s="458"/>
    </row>
    <row r="169" spans="2:20">
      <c r="B169" s="347"/>
      <c r="C169" s="230"/>
      <c r="D169" s="186"/>
      <c r="E169" s="86" t="s">
        <v>298</v>
      </c>
      <c r="F169" s="75"/>
      <c r="G169" s="338">
        <v>130</v>
      </c>
      <c r="H169" s="465">
        <v>150</v>
      </c>
      <c r="I169" s="493">
        <f>H36</f>
        <v>487</v>
      </c>
      <c r="J169" s="493">
        <f t="shared" ref="J169:K169" si="30">I36</f>
        <v>563</v>
      </c>
      <c r="K169" s="493">
        <f t="shared" si="30"/>
        <v>574</v>
      </c>
      <c r="L169" s="459">
        <v>519</v>
      </c>
      <c r="M169" s="459">
        <v>362</v>
      </c>
      <c r="N169" s="354">
        <v>479</v>
      </c>
      <c r="O169" s="459">
        <v>500</v>
      </c>
      <c r="P169" s="459">
        <v>505</v>
      </c>
      <c r="Q169" s="459">
        <v>499</v>
      </c>
      <c r="R169" s="459">
        <v>395</v>
      </c>
      <c r="S169" s="458"/>
      <c r="T169" s="458"/>
    </row>
    <row r="170" spans="2:20">
      <c r="B170" s="278"/>
      <c r="C170" s="230"/>
      <c r="D170" s="186"/>
      <c r="E170" s="34" t="s">
        <v>299</v>
      </c>
      <c r="F170" s="193" t="s">
        <v>306</v>
      </c>
      <c r="G170" s="338"/>
      <c r="H170" s="203">
        <f>H168/H169</f>
        <v>0.66666666666666663</v>
      </c>
      <c r="I170" s="203">
        <f t="shared" ref="I170:T170" si="31">I168/I169</f>
        <v>0.98562628336755642</v>
      </c>
      <c r="J170" s="203">
        <f t="shared" si="31"/>
        <v>0.99289520426287747</v>
      </c>
      <c r="K170" s="203">
        <f t="shared" si="31"/>
        <v>0.99128919860627174</v>
      </c>
      <c r="L170" s="203">
        <f t="shared" si="31"/>
        <v>0.94605009633911363</v>
      </c>
      <c r="M170" s="203">
        <f t="shared" si="31"/>
        <v>0.91436464088397795</v>
      </c>
      <c r="N170" s="203">
        <f t="shared" si="31"/>
        <v>0.88935281837160751</v>
      </c>
      <c r="O170" s="203">
        <f t="shared" si="31"/>
        <v>0.88600000000000001</v>
      </c>
      <c r="P170" s="203">
        <f t="shared" si="31"/>
        <v>0.90693069306930696</v>
      </c>
      <c r="Q170" s="203">
        <f t="shared" si="31"/>
        <v>0.89178356713426854</v>
      </c>
      <c r="R170" s="203">
        <f t="shared" si="31"/>
        <v>0.89873417721518989</v>
      </c>
      <c r="S170" s="203" t="e">
        <f t="shared" si="31"/>
        <v>#DIV/0!</v>
      </c>
      <c r="T170" s="203" t="e">
        <f t="shared" si="31"/>
        <v>#DIV/0!</v>
      </c>
    </row>
    <row r="171" spans="2:20">
      <c r="B171" s="278"/>
      <c r="C171" s="230"/>
      <c r="D171" s="186"/>
      <c r="E171" s="86" t="s">
        <v>300</v>
      </c>
      <c r="F171" s="75"/>
      <c r="G171" s="338">
        <v>131</v>
      </c>
      <c r="H171" s="465">
        <v>85</v>
      </c>
      <c r="I171" s="458">
        <v>129</v>
      </c>
      <c r="J171" s="458">
        <v>115</v>
      </c>
      <c r="K171" s="458">
        <v>92</v>
      </c>
      <c r="L171" s="459">
        <v>75</v>
      </c>
      <c r="M171" s="459">
        <v>42</v>
      </c>
      <c r="N171" s="354">
        <v>63</v>
      </c>
      <c r="O171" s="459">
        <f>O172-29</f>
        <v>69</v>
      </c>
      <c r="P171" s="459">
        <v>74</v>
      </c>
      <c r="Q171" s="459">
        <v>90</v>
      </c>
      <c r="R171" s="459">
        <v>84</v>
      </c>
      <c r="S171" s="458"/>
      <c r="T171" s="458"/>
    </row>
    <row r="172" spans="2:20">
      <c r="B172" s="278"/>
      <c r="C172" s="230"/>
      <c r="D172" s="186"/>
      <c r="E172" s="102" t="s">
        <v>301</v>
      </c>
      <c r="F172" s="75"/>
      <c r="G172" s="338">
        <v>132</v>
      </c>
      <c r="H172" s="465">
        <v>100</v>
      </c>
      <c r="I172" s="458">
        <v>142</v>
      </c>
      <c r="J172" s="458">
        <v>123</v>
      </c>
      <c r="K172" s="458">
        <v>112</v>
      </c>
      <c r="L172" s="459">
        <v>91</v>
      </c>
      <c r="M172" s="459">
        <v>54</v>
      </c>
      <c r="N172" s="354">
        <f>63+34</f>
        <v>97</v>
      </c>
      <c r="O172" s="459">
        <f>52+46</f>
        <v>98</v>
      </c>
      <c r="P172" s="459">
        <v>96</v>
      </c>
      <c r="Q172" s="459">
        <v>112</v>
      </c>
      <c r="R172" s="459">
        <v>103</v>
      </c>
      <c r="S172" s="458"/>
      <c r="T172" s="458"/>
    </row>
    <row r="173" spans="2:20">
      <c r="B173" s="278"/>
      <c r="C173" s="230"/>
      <c r="D173" s="186"/>
      <c r="E173" s="34" t="s">
        <v>302</v>
      </c>
      <c r="F173" s="193" t="s">
        <v>307</v>
      </c>
      <c r="G173" s="338"/>
      <c r="H173" s="203">
        <f>H171/H172</f>
        <v>0.85</v>
      </c>
      <c r="I173" s="203">
        <f t="shared" ref="I173:T173" si="32">I171/I172</f>
        <v>0.90845070422535212</v>
      </c>
      <c r="J173" s="203">
        <f t="shared" si="32"/>
        <v>0.93495934959349591</v>
      </c>
      <c r="K173" s="203">
        <f t="shared" si="32"/>
        <v>0.8214285714285714</v>
      </c>
      <c r="L173" s="203">
        <f t="shared" si="32"/>
        <v>0.82417582417582413</v>
      </c>
      <c r="M173" s="203">
        <f t="shared" si="32"/>
        <v>0.77777777777777779</v>
      </c>
      <c r="N173" s="203">
        <f t="shared" si="32"/>
        <v>0.64948453608247425</v>
      </c>
      <c r="O173" s="203">
        <f t="shared" si="32"/>
        <v>0.70408163265306123</v>
      </c>
      <c r="P173" s="203">
        <f t="shared" si="32"/>
        <v>0.77083333333333337</v>
      </c>
      <c r="Q173" s="203">
        <f t="shared" si="32"/>
        <v>0.8035714285714286</v>
      </c>
      <c r="R173" s="203">
        <f t="shared" si="32"/>
        <v>0.81553398058252424</v>
      </c>
      <c r="S173" s="203" t="e">
        <f t="shared" si="32"/>
        <v>#DIV/0!</v>
      </c>
      <c r="T173" s="203" t="e">
        <f t="shared" si="32"/>
        <v>#DIV/0!</v>
      </c>
    </row>
    <row r="174" spans="2:20">
      <c r="B174" s="279"/>
      <c r="C174" s="230"/>
      <c r="D174" s="186"/>
      <c r="E174" s="86" t="s">
        <v>303</v>
      </c>
      <c r="F174" s="75"/>
      <c r="G174" s="338">
        <v>133</v>
      </c>
      <c r="H174" s="464">
        <v>0.8</v>
      </c>
      <c r="I174" s="494">
        <v>0.7</v>
      </c>
      <c r="J174" s="494">
        <v>0.76</v>
      </c>
      <c r="K174" s="494">
        <v>0.68</v>
      </c>
      <c r="L174" s="495">
        <v>0.84</v>
      </c>
      <c r="M174" s="495">
        <v>0.79</v>
      </c>
      <c r="N174" s="463">
        <v>0.63</v>
      </c>
      <c r="O174" s="495">
        <v>0.65</v>
      </c>
      <c r="P174" s="495">
        <v>0.7</v>
      </c>
      <c r="Q174" s="495">
        <v>0.79</v>
      </c>
      <c r="R174" s="495">
        <v>0.8</v>
      </c>
      <c r="S174" s="458"/>
      <c r="T174" s="458"/>
    </row>
    <row r="175" spans="2:20">
      <c r="B175" s="279"/>
      <c r="C175" s="230"/>
      <c r="D175" s="186"/>
      <c r="E175" s="86" t="s">
        <v>304</v>
      </c>
      <c r="F175" s="75"/>
      <c r="G175" s="338">
        <v>134</v>
      </c>
      <c r="H175" s="465">
        <v>250</v>
      </c>
      <c r="I175" s="458">
        <v>206</v>
      </c>
      <c r="J175" s="458">
        <v>231</v>
      </c>
      <c r="K175" s="458">
        <v>278</v>
      </c>
      <c r="L175" s="459">
        <v>255</v>
      </c>
      <c r="M175" s="459">
        <v>269</v>
      </c>
      <c r="N175" s="354">
        <v>261</v>
      </c>
      <c r="O175" s="459">
        <v>205</v>
      </c>
      <c r="P175" s="459">
        <v>212</v>
      </c>
      <c r="Q175" s="459">
        <v>242</v>
      </c>
      <c r="R175" s="459">
        <v>235</v>
      </c>
      <c r="S175" s="458"/>
      <c r="T175" s="458"/>
    </row>
    <row r="176" spans="2:20">
      <c r="B176" s="279"/>
      <c r="C176" s="230"/>
      <c r="D176" s="186"/>
      <c r="E176" s="86" t="s">
        <v>305</v>
      </c>
      <c r="F176" s="75"/>
      <c r="G176" s="338">
        <v>135</v>
      </c>
      <c r="H176" s="464">
        <v>0.05</v>
      </c>
      <c r="I176" s="494">
        <v>0.15</v>
      </c>
      <c r="J176" s="494">
        <v>0.18</v>
      </c>
      <c r="K176" s="494">
        <v>0.52</v>
      </c>
      <c r="L176" s="459" t="s">
        <v>329</v>
      </c>
      <c r="M176" s="459" t="s">
        <v>330</v>
      </c>
      <c r="N176" s="497" t="s">
        <v>382</v>
      </c>
      <c r="O176" s="459" t="s">
        <v>383</v>
      </c>
      <c r="P176" s="583">
        <v>0.1113</v>
      </c>
      <c r="Q176" s="583">
        <v>0.1431</v>
      </c>
      <c r="R176" s="583">
        <v>0.16400000000000001</v>
      </c>
      <c r="S176" s="458"/>
      <c r="T176" s="458"/>
    </row>
    <row r="177" spans="2:20">
      <c r="B177" s="49">
        <v>19</v>
      </c>
      <c r="C177" s="333" t="s">
        <v>287</v>
      </c>
      <c r="D177" s="286"/>
      <c r="E177" s="86"/>
      <c r="F177" s="75"/>
      <c r="G177" s="338"/>
      <c r="H177" s="354"/>
      <c r="I177" s="458"/>
      <c r="J177" s="458"/>
      <c r="K177" s="458"/>
      <c r="L177" s="459"/>
      <c r="M177" s="459"/>
      <c r="N177" s="354"/>
      <c r="O177" s="459"/>
      <c r="P177" s="459"/>
      <c r="Q177" s="459"/>
      <c r="R177" s="459"/>
      <c r="S177" s="458"/>
      <c r="T177" s="458"/>
    </row>
    <row r="178" spans="2:20" ht="15" customHeight="1">
      <c r="B178" s="278"/>
      <c r="C178" s="33"/>
      <c r="D178" s="186"/>
      <c r="E178" s="352" t="s">
        <v>318</v>
      </c>
      <c r="F178" s="352"/>
      <c r="G178" s="352">
        <v>136</v>
      </c>
      <c r="H178" s="334" t="s">
        <v>288</v>
      </c>
      <c r="I178" s="462" t="s">
        <v>326</v>
      </c>
      <c r="J178" s="462" t="s">
        <v>326</v>
      </c>
      <c r="K178" s="462" t="s">
        <v>326</v>
      </c>
      <c r="L178" s="462" t="s">
        <v>326</v>
      </c>
      <c r="M178" s="462" t="s">
        <v>326</v>
      </c>
      <c r="N178" s="462" t="s">
        <v>326</v>
      </c>
      <c r="O178" s="462" t="s">
        <v>326</v>
      </c>
      <c r="P178" s="462" t="s">
        <v>326</v>
      </c>
      <c r="Q178" s="462" t="s">
        <v>326</v>
      </c>
      <c r="R178" s="462" t="s">
        <v>326</v>
      </c>
      <c r="S178" s="462"/>
      <c r="T178" s="462"/>
    </row>
    <row r="179" spans="2:20">
      <c r="B179" s="278"/>
      <c r="C179" s="33"/>
      <c r="D179" s="186"/>
      <c r="E179" s="352" t="s">
        <v>319</v>
      </c>
      <c r="F179" s="352"/>
      <c r="G179" s="352">
        <v>137</v>
      </c>
      <c r="H179" s="334" t="s">
        <v>289</v>
      </c>
      <c r="I179" s="462" t="s">
        <v>327</v>
      </c>
      <c r="J179" s="462" t="s">
        <v>327</v>
      </c>
      <c r="K179" s="462" t="s">
        <v>327</v>
      </c>
      <c r="L179" s="462" t="s">
        <v>327</v>
      </c>
      <c r="M179" s="462" t="s">
        <v>327</v>
      </c>
      <c r="N179" s="462" t="s">
        <v>327</v>
      </c>
      <c r="O179" s="462" t="s">
        <v>327</v>
      </c>
      <c r="P179" s="462" t="s">
        <v>327</v>
      </c>
      <c r="Q179" s="462" t="s">
        <v>327</v>
      </c>
      <c r="R179" s="462" t="s">
        <v>327</v>
      </c>
      <c r="S179" s="462"/>
      <c r="T179" s="462"/>
    </row>
  </sheetData>
  <protectedRanges>
    <protectedRange sqref="H115 H109:H110" name="Range16_1_1_1_9_1_1"/>
    <protectedRange sqref="H100:H104 H111:H114 H106:H107" name="Range17_1_1_1_8_1"/>
  </protectedRanges>
  <mergeCells count="28">
    <mergeCell ref="D19:E19"/>
    <mergeCell ref="D24:D36"/>
    <mergeCell ref="E24:E35"/>
    <mergeCell ref="D37:D39"/>
    <mergeCell ref="E3:F3"/>
    <mergeCell ref="E4:F4"/>
    <mergeCell ref="C6:F6"/>
    <mergeCell ref="D8:F8"/>
    <mergeCell ref="D11:F11"/>
    <mergeCell ref="D72:D77"/>
    <mergeCell ref="D41:E42"/>
    <mergeCell ref="D43:E43"/>
    <mergeCell ref="D44:E44"/>
    <mergeCell ref="D45:E45"/>
    <mergeCell ref="D50:D54"/>
    <mergeCell ref="D58:D62"/>
    <mergeCell ref="D65:F65"/>
    <mergeCell ref="D66:F66"/>
    <mergeCell ref="D68:F68"/>
    <mergeCell ref="D69:F69"/>
    <mergeCell ref="D70:F70"/>
    <mergeCell ref="E125:F125"/>
    <mergeCell ref="D80:D83"/>
    <mergeCell ref="D85:D87"/>
    <mergeCell ref="E85:F85"/>
    <mergeCell ref="D88:D90"/>
    <mergeCell ref="D91:D93"/>
    <mergeCell ref="D95:F95"/>
  </mergeCells>
  <pageMargins left="0" right="0" top="0" bottom="0" header="0.31496062992125984" footer="0.31496062992125984"/>
  <pageSetup paperSize="8" scale="59" orientation="portrait" r:id="rId1"/>
  <ignoredErrors>
    <ignoredError sqref="H79:J79" formulaRange="1"/>
    <ignoredError sqref="I144:K144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DAB4-A91A-4D1E-92A9-9AE2403D6050}">
  <dimension ref="A1:M59"/>
  <sheetViews>
    <sheetView tabSelected="1" topLeftCell="B1" workbookViewId="0">
      <selection activeCell="P16" sqref="P16"/>
    </sheetView>
  </sheetViews>
  <sheetFormatPr defaultRowHeight="15"/>
  <cols>
    <col min="1" max="1" width="27.85546875" customWidth="1"/>
    <col min="10" max="10" width="15.5703125" bestFit="1" customWidth="1"/>
  </cols>
  <sheetData>
    <row r="1" spans="1:13">
      <c r="A1" t="s">
        <v>394</v>
      </c>
      <c r="B1">
        <v>11199</v>
      </c>
    </row>
    <row r="2" spans="1:13">
      <c r="A2" t="s">
        <v>411</v>
      </c>
      <c r="B2">
        <v>5938</v>
      </c>
    </row>
    <row r="3" spans="1:13">
      <c r="A3" t="s">
        <v>415</v>
      </c>
      <c r="B3">
        <v>10211</v>
      </c>
    </row>
    <row r="4" spans="1:13">
      <c r="A4" t="s">
        <v>416</v>
      </c>
      <c r="B4" s="595">
        <f>B3/B1</f>
        <v>0.91177783730690243</v>
      </c>
    </row>
    <row r="8" spans="1:13">
      <c r="A8" s="597" t="s">
        <v>392</v>
      </c>
    </row>
    <row r="9" spans="1:13">
      <c r="A9" t="s">
        <v>393</v>
      </c>
      <c r="B9">
        <v>8731</v>
      </c>
    </row>
    <row r="10" spans="1:13">
      <c r="A10" t="s">
        <v>395</v>
      </c>
      <c r="B10">
        <v>8647</v>
      </c>
      <c r="K10" t="s">
        <v>428</v>
      </c>
    </row>
    <row r="11" spans="1:13">
      <c r="A11" t="s">
        <v>396</v>
      </c>
      <c r="B11" s="595">
        <f>B10/B9</f>
        <v>0.99037910892223113</v>
      </c>
      <c r="J11" t="s">
        <v>427</v>
      </c>
      <c r="K11" s="660">
        <v>0.02</v>
      </c>
      <c r="L11" s="660">
        <f>K11/K16</f>
        <v>5.8139534883720929E-3</v>
      </c>
      <c r="M11" s="660">
        <v>0.01</v>
      </c>
    </row>
    <row r="12" spans="1:13">
      <c r="A12" t="s">
        <v>390</v>
      </c>
      <c r="B12">
        <v>43</v>
      </c>
      <c r="J12" t="s">
        <v>429</v>
      </c>
      <c r="K12" s="660">
        <v>0.7</v>
      </c>
      <c r="L12" s="660">
        <f>K12/K16</f>
        <v>0.20348837209302326</v>
      </c>
      <c r="M12" s="660">
        <f>M11+L12</f>
        <v>0.21348837209302327</v>
      </c>
    </row>
    <row r="13" spans="1:13">
      <c r="A13" t="s">
        <v>391</v>
      </c>
      <c r="B13" s="596">
        <f>B12/B1</f>
        <v>3.8396285382623447E-3</v>
      </c>
      <c r="J13" t="s">
        <v>403</v>
      </c>
      <c r="K13" s="660">
        <v>0.83</v>
      </c>
      <c r="L13" s="660">
        <f>K13/K16</f>
        <v>0.24127906976744184</v>
      </c>
      <c r="M13" s="660">
        <f>M12+L13</f>
        <v>0.45476744186046514</v>
      </c>
    </row>
    <row r="14" spans="1:13">
      <c r="B14" s="596"/>
      <c r="J14" t="s">
        <v>430</v>
      </c>
      <c r="K14" s="660">
        <v>0.93</v>
      </c>
      <c r="L14" s="660">
        <f>K14/K16</f>
        <v>0.27034883720930236</v>
      </c>
      <c r="M14" s="660">
        <f>M13+L14</f>
        <v>0.7251162790697675</v>
      </c>
    </row>
    <row r="15" spans="1:13">
      <c r="B15" s="596"/>
      <c r="J15" t="s">
        <v>400</v>
      </c>
      <c r="K15" s="660">
        <v>0.96</v>
      </c>
      <c r="L15" s="660">
        <f>K15/K16</f>
        <v>0.27906976744186046</v>
      </c>
      <c r="M15" s="660">
        <f>M14+L15</f>
        <v>1.0041860465116279</v>
      </c>
    </row>
    <row r="16" spans="1:13">
      <c r="K16" s="660">
        <f>SUM(K11:K15)</f>
        <v>3.44</v>
      </c>
    </row>
    <row r="17" spans="1:2">
      <c r="A17" s="597" t="s">
        <v>397</v>
      </c>
    </row>
    <row r="18" spans="1:2">
      <c r="A18" t="s">
        <v>398</v>
      </c>
      <c r="B18" s="598">
        <v>8.997685185185185E-2</v>
      </c>
    </row>
    <row r="19" spans="1:2">
      <c r="A19" t="s">
        <v>399</v>
      </c>
      <c r="B19" s="598">
        <v>9.7222222222222224E-2</v>
      </c>
    </row>
    <row r="20" spans="1:2">
      <c r="A20" t="s">
        <v>402</v>
      </c>
      <c r="B20" s="595">
        <f>B19/B18</f>
        <v>1.0805248263442244</v>
      </c>
    </row>
    <row r="22" spans="1:2">
      <c r="A22" t="s">
        <v>400</v>
      </c>
      <c r="B22" s="598">
        <v>7.6006944444444446E-2</v>
      </c>
    </row>
    <row r="23" spans="1:2">
      <c r="A23" t="s">
        <v>401</v>
      </c>
      <c r="B23" s="598">
        <v>7.2916666666666671E-2</v>
      </c>
    </row>
    <row r="24" spans="1:2">
      <c r="A24" t="s">
        <v>402</v>
      </c>
      <c r="B24" s="595">
        <f>B23/B22</f>
        <v>0.9593421653723162</v>
      </c>
    </row>
    <row r="26" spans="1:2">
      <c r="A26" t="s">
        <v>403</v>
      </c>
      <c r="B26" s="598">
        <v>5.0405092592592592E-2</v>
      </c>
    </row>
    <row r="27" spans="1:2">
      <c r="A27" t="s">
        <v>404</v>
      </c>
      <c r="B27" s="598">
        <v>4.1666666666666664E-2</v>
      </c>
    </row>
    <row r="28" spans="1:2">
      <c r="A28" t="s">
        <v>402</v>
      </c>
      <c r="B28" s="595">
        <f>B27/B26</f>
        <v>0.82663605051664746</v>
      </c>
    </row>
    <row r="31" spans="1:2">
      <c r="A31" s="597" t="s">
        <v>405</v>
      </c>
    </row>
    <row r="32" spans="1:2">
      <c r="A32" t="s">
        <v>406</v>
      </c>
      <c r="B32">
        <v>4423</v>
      </c>
    </row>
    <row r="33" spans="1:10">
      <c r="A33" t="s">
        <v>407</v>
      </c>
      <c r="B33" s="595">
        <f>B32/B1</f>
        <v>0.39494597731940351</v>
      </c>
    </row>
    <row r="36" spans="1:10">
      <c r="A36" s="597" t="s">
        <v>408</v>
      </c>
    </row>
    <row r="37" spans="1:10">
      <c r="A37" t="s">
        <v>409</v>
      </c>
      <c r="B37">
        <v>55</v>
      </c>
      <c r="G37">
        <v>85</v>
      </c>
      <c r="H37">
        <v>73</v>
      </c>
      <c r="I37">
        <f>G37*H37</f>
        <v>6205</v>
      </c>
    </row>
    <row r="38" spans="1:10">
      <c r="A38" t="s">
        <v>410</v>
      </c>
      <c r="B38" s="596">
        <f>B37/B2</f>
        <v>9.2623779050185241E-3</v>
      </c>
      <c r="G38">
        <v>90</v>
      </c>
      <c r="H38">
        <v>16</v>
      </c>
      <c r="I38">
        <f t="shared" ref="I38:I40" si="0">G38*H38</f>
        <v>1440</v>
      </c>
    </row>
    <row r="39" spans="1:10">
      <c r="G39">
        <v>100</v>
      </c>
      <c r="H39">
        <v>26</v>
      </c>
      <c r="I39">
        <f t="shared" si="0"/>
        <v>2600</v>
      </c>
    </row>
    <row r="40" spans="1:10">
      <c r="G40">
        <v>60</v>
      </c>
      <c r="H40">
        <v>1</v>
      </c>
      <c r="I40">
        <f t="shared" si="0"/>
        <v>60</v>
      </c>
    </row>
    <row r="41" spans="1:10">
      <c r="A41" s="597" t="s">
        <v>412</v>
      </c>
      <c r="H41">
        <f>SUM(H37:H40)</f>
        <v>116</v>
      </c>
      <c r="I41">
        <f>SUM(I37:I40)</f>
        <v>10305</v>
      </c>
      <c r="J41">
        <f>I41/H41</f>
        <v>88.83620689655173</v>
      </c>
    </row>
    <row r="42" spans="1:10">
      <c r="A42" t="s">
        <v>413</v>
      </c>
      <c r="B42">
        <v>4479</v>
      </c>
    </row>
    <row r="43" spans="1:10">
      <c r="A43" t="s">
        <v>414</v>
      </c>
      <c r="B43" s="595">
        <f>B42/B1</f>
        <v>0.39994642378783818</v>
      </c>
    </row>
    <row r="46" spans="1:10">
      <c r="A46" s="597" t="s">
        <v>417</v>
      </c>
    </row>
    <row r="47" spans="1:10">
      <c r="A47" t="s">
        <v>418</v>
      </c>
      <c r="B47">
        <v>557</v>
      </c>
    </row>
    <row r="48" spans="1:10">
      <c r="A48" t="s">
        <v>419</v>
      </c>
      <c r="B48">
        <v>427</v>
      </c>
    </row>
    <row r="49" spans="1:2">
      <c r="A49" t="s">
        <v>420</v>
      </c>
    </row>
    <row r="52" spans="1:2">
      <c r="A52" s="597" t="s">
        <v>421</v>
      </c>
    </row>
    <row r="53" spans="1:2">
      <c r="A53" t="s">
        <v>422</v>
      </c>
      <c r="B53">
        <v>116</v>
      </c>
    </row>
    <row r="54" spans="1:2">
      <c r="A54" t="s">
        <v>423</v>
      </c>
      <c r="B54">
        <v>88.8</v>
      </c>
    </row>
    <row r="57" spans="1:2">
      <c r="A57" s="597" t="s">
        <v>424</v>
      </c>
    </row>
    <row r="58" spans="1:2">
      <c r="A58" t="s">
        <v>425</v>
      </c>
      <c r="B58">
        <v>4748427</v>
      </c>
    </row>
    <row r="59" spans="1:2">
      <c r="A59" t="s">
        <v>426</v>
      </c>
      <c r="B59" s="659">
        <f>B58/B3</f>
        <v>465.0305552835178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E42"/>
  <sheetViews>
    <sheetView topLeftCell="A7" zoomScale="75" zoomScaleNormal="75" workbookViewId="0">
      <pane xSplit="1" ySplit="2" topLeftCell="B30" activePane="bottomRight" state="frozen"/>
      <selection activeCell="A7" sqref="A7"/>
      <selection pane="topRight" activeCell="B7" sqref="B7"/>
      <selection pane="bottomLeft" activeCell="A9" sqref="A9"/>
      <selection pane="bottomRight" activeCell="E44" sqref="E44"/>
    </sheetView>
  </sheetViews>
  <sheetFormatPr defaultRowHeight="15.75"/>
  <cols>
    <col min="1" max="1" width="5.7109375" style="518" customWidth="1"/>
    <col min="2" max="2" width="6.140625" style="507" customWidth="1"/>
    <col min="3" max="3" width="5" style="508" customWidth="1"/>
    <col min="4" max="4" width="19.28515625" style="503" customWidth="1"/>
    <col min="5" max="5" width="36.7109375" style="503" bestFit="1" customWidth="1"/>
    <col min="6" max="6" width="4.28515625" style="501" bestFit="1" customWidth="1"/>
    <col min="7" max="8" width="11.7109375" style="501" customWidth="1"/>
    <col min="9" max="9" width="11.7109375" style="502" customWidth="1"/>
    <col min="10" max="31" width="11.7109375" style="501" customWidth="1"/>
    <col min="32" max="258" width="9.140625" style="503"/>
    <col min="259" max="259" width="5.7109375" style="503" customWidth="1"/>
    <col min="260" max="260" width="6.140625" style="503" customWidth="1"/>
    <col min="261" max="261" width="9.7109375" style="503" customWidth="1"/>
    <col min="262" max="262" width="23.28515625" style="503" customWidth="1"/>
    <col min="263" max="264" width="38" style="503" customWidth="1"/>
    <col min="265" max="265" width="4.85546875" style="503" customWidth="1"/>
    <col min="266" max="266" width="13.85546875" style="503" customWidth="1"/>
    <col min="267" max="278" width="14.85546875" style="503" customWidth="1"/>
    <col min="279" max="514" width="9.140625" style="503"/>
    <col min="515" max="515" width="5.7109375" style="503" customWidth="1"/>
    <col min="516" max="516" width="6.140625" style="503" customWidth="1"/>
    <col min="517" max="517" width="9.7109375" style="503" customWidth="1"/>
    <col min="518" max="518" width="23.28515625" style="503" customWidth="1"/>
    <col min="519" max="520" width="38" style="503" customWidth="1"/>
    <col min="521" max="521" width="4.85546875" style="503" customWidth="1"/>
    <col min="522" max="522" width="13.85546875" style="503" customWidth="1"/>
    <col min="523" max="534" width="14.85546875" style="503" customWidth="1"/>
    <col min="535" max="770" width="9.140625" style="503"/>
    <col min="771" max="771" width="5.7109375" style="503" customWidth="1"/>
    <col min="772" max="772" width="6.140625" style="503" customWidth="1"/>
    <col min="773" max="773" width="9.7109375" style="503" customWidth="1"/>
    <col min="774" max="774" width="23.28515625" style="503" customWidth="1"/>
    <col min="775" max="776" width="38" style="503" customWidth="1"/>
    <col min="777" max="777" width="4.85546875" style="503" customWidth="1"/>
    <col min="778" max="778" width="13.85546875" style="503" customWidth="1"/>
    <col min="779" max="790" width="14.85546875" style="503" customWidth="1"/>
    <col min="791" max="1026" width="9.140625" style="503"/>
    <col min="1027" max="1027" width="5.7109375" style="503" customWidth="1"/>
    <col min="1028" max="1028" width="6.140625" style="503" customWidth="1"/>
    <col min="1029" max="1029" width="9.7109375" style="503" customWidth="1"/>
    <col min="1030" max="1030" width="23.28515625" style="503" customWidth="1"/>
    <col min="1031" max="1032" width="38" style="503" customWidth="1"/>
    <col min="1033" max="1033" width="4.85546875" style="503" customWidth="1"/>
    <col min="1034" max="1034" width="13.85546875" style="503" customWidth="1"/>
    <col min="1035" max="1046" width="14.85546875" style="503" customWidth="1"/>
    <col min="1047" max="1282" width="9.140625" style="503"/>
    <col min="1283" max="1283" width="5.7109375" style="503" customWidth="1"/>
    <col min="1284" max="1284" width="6.140625" style="503" customWidth="1"/>
    <col min="1285" max="1285" width="9.7109375" style="503" customWidth="1"/>
    <col min="1286" max="1286" width="23.28515625" style="503" customWidth="1"/>
    <col min="1287" max="1288" width="38" style="503" customWidth="1"/>
    <col min="1289" max="1289" width="4.85546875" style="503" customWidth="1"/>
    <col min="1290" max="1290" width="13.85546875" style="503" customWidth="1"/>
    <col min="1291" max="1302" width="14.85546875" style="503" customWidth="1"/>
    <col min="1303" max="1538" width="9.140625" style="503"/>
    <col min="1539" max="1539" width="5.7109375" style="503" customWidth="1"/>
    <col min="1540" max="1540" width="6.140625" style="503" customWidth="1"/>
    <col min="1541" max="1541" width="9.7109375" style="503" customWidth="1"/>
    <col min="1542" max="1542" width="23.28515625" style="503" customWidth="1"/>
    <col min="1543" max="1544" width="38" style="503" customWidth="1"/>
    <col min="1545" max="1545" width="4.85546875" style="503" customWidth="1"/>
    <col min="1546" max="1546" width="13.85546875" style="503" customWidth="1"/>
    <col min="1547" max="1558" width="14.85546875" style="503" customWidth="1"/>
    <col min="1559" max="1794" width="9.140625" style="503"/>
    <col min="1795" max="1795" width="5.7109375" style="503" customWidth="1"/>
    <col min="1796" max="1796" width="6.140625" style="503" customWidth="1"/>
    <col min="1797" max="1797" width="9.7109375" style="503" customWidth="1"/>
    <col min="1798" max="1798" width="23.28515625" style="503" customWidth="1"/>
    <col min="1799" max="1800" width="38" style="503" customWidth="1"/>
    <col min="1801" max="1801" width="4.85546875" style="503" customWidth="1"/>
    <col min="1802" max="1802" width="13.85546875" style="503" customWidth="1"/>
    <col min="1803" max="1814" width="14.85546875" style="503" customWidth="1"/>
    <col min="1815" max="2050" width="9.140625" style="503"/>
    <col min="2051" max="2051" width="5.7109375" style="503" customWidth="1"/>
    <col min="2052" max="2052" width="6.140625" style="503" customWidth="1"/>
    <col min="2053" max="2053" width="9.7109375" style="503" customWidth="1"/>
    <col min="2054" max="2054" width="23.28515625" style="503" customWidth="1"/>
    <col min="2055" max="2056" width="38" style="503" customWidth="1"/>
    <col min="2057" max="2057" width="4.85546875" style="503" customWidth="1"/>
    <col min="2058" max="2058" width="13.85546875" style="503" customWidth="1"/>
    <col min="2059" max="2070" width="14.85546875" style="503" customWidth="1"/>
    <col min="2071" max="2306" width="9.140625" style="503"/>
    <col min="2307" max="2307" width="5.7109375" style="503" customWidth="1"/>
    <col min="2308" max="2308" width="6.140625" style="503" customWidth="1"/>
    <col min="2309" max="2309" width="9.7109375" style="503" customWidth="1"/>
    <col min="2310" max="2310" width="23.28515625" style="503" customWidth="1"/>
    <col min="2311" max="2312" width="38" style="503" customWidth="1"/>
    <col min="2313" max="2313" width="4.85546875" style="503" customWidth="1"/>
    <col min="2314" max="2314" width="13.85546875" style="503" customWidth="1"/>
    <col min="2315" max="2326" width="14.85546875" style="503" customWidth="1"/>
    <col min="2327" max="2562" width="9.140625" style="503"/>
    <col min="2563" max="2563" width="5.7109375" style="503" customWidth="1"/>
    <col min="2564" max="2564" width="6.140625" style="503" customWidth="1"/>
    <col min="2565" max="2565" width="9.7109375" style="503" customWidth="1"/>
    <col min="2566" max="2566" width="23.28515625" style="503" customWidth="1"/>
    <col min="2567" max="2568" width="38" style="503" customWidth="1"/>
    <col min="2569" max="2569" width="4.85546875" style="503" customWidth="1"/>
    <col min="2570" max="2570" width="13.85546875" style="503" customWidth="1"/>
    <col min="2571" max="2582" width="14.85546875" style="503" customWidth="1"/>
    <col min="2583" max="2818" width="9.140625" style="503"/>
    <col min="2819" max="2819" width="5.7109375" style="503" customWidth="1"/>
    <col min="2820" max="2820" width="6.140625" style="503" customWidth="1"/>
    <col min="2821" max="2821" width="9.7109375" style="503" customWidth="1"/>
    <col min="2822" max="2822" width="23.28515625" style="503" customWidth="1"/>
    <col min="2823" max="2824" width="38" style="503" customWidth="1"/>
    <col min="2825" max="2825" width="4.85546875" style="503" customWidth="1"/>
    <col min="2826" max="2826" width="13.85546875" style="503" customWidth="1"/>
    <col min="2827" max="2838" width="14.85546875" style="503" customWidth="1"/>
    <col min="2839" max="3074" width="9.140625" style="503"/>
    <col min="3075" max="3075" width="5.7109375" style="503" customWidth="1"/>
    <col min="3076" max="3076" width="6.140625" style="503" customWidth="1"/>
    <col min="3077" max="3077" width="9.7109375" style="503" customWidth="1"/>
    <col min="3078" max="3078" width="23.28515625" style="503" customWidth="1"/>
    <col min="3079" max="3080" width="38" style="503" customWidth="1"/>
    <col min="3081" max="3081" width="4.85546875" style="503" customWidth="1"/>
    <col min="3082" max="3082" width="13.85546875" style="503" customWidth="1"/>
    <col min="3083" max="3094" width="14.85546875" style="503" customWidth="1"/>
    <col min="3095" max="3330" width="9.140625" style="503"/>
    <col min="3331" max="3331" width="5.7109375" style="503" customWidth="1"/>
    <col min="3332" max="3332" width="6.140625" style="503" customWidth="1"/>
    <col min="3333" max="3333" width="9.7109375" style="503" customWidth="1"/>
    <col min="3334" max="3334" width="23.28515625" style="503" customWidth="1"/>
    <col min="3335" max="3336" width="38" style="503" customWidth="1"/>
    <col min="3337" max="3337" width="4.85546875" style="503" customWidth="1"/>
    <col min="3338" max="3338" width="13.85546875" style="503" customWidth="1"/>
    <col min="3339" max="3350" width="14.85546875" style="503" customWidth="1"/>
    <col min="3351" max="3586" width="9.140625" style="503"/>
    <col min="3587" max="3587" width="5.7109375" style="503" customWidth="1"/>
    <col min="3588" max="3588" width="6.140625" style="503" customWidth="1"/>
    <col min="3589" max="3589" width="9.7109375" style="503" customWidth="1"/>
    <col min="3590" max="3590" width="23.28515625" style="503" customWidth="1"/>
    <col min="3591" max="3592" width="38" style="503" customWidth="1"/>
    <col min="3593" max="3593" width="4.85546875" style="503" customWidth="1"/>
    <col min="3594" max="3594" width="13.85546875" style="503" customWidth="1"/>
    <col min="3595" max="3606" width="14.85546875" style="503" customWidth="1"/>
    <col min="3607" max="3842" width="9.140625" style="503"/>
    <col min="3843" max="3843" width="5.7109375" style="503" customWidth="1"/>
    <col min="3844" max="3844" width="6.140625" style="503" customWidth="1"/>
    <col min="3845" max="3845" width="9.7109375" style="503" customWidth="1"/>
    <col min="3846" max="3846" width="23.28515625" style="503" customWidth="1"/>
    <col min="3847" max="3848" width="38" style="503" customWidth="1"/>
    <col min="3849" max="3849" width="4.85546875" style="503" customWidth="1"/>
    <col min="3850" max="3850" width="13.85546875" style="503" customWidth="1"/>
    <col min="3851" max="3862" width="14.85546875" style="503" customWidth="1"/>
    <col min="3863" max="4098" width="9.140625" style="503"/>
    <col min="4099" max="4099" width="5.7109375" style="503" customWidth="1"/>
    <col min="4100" max="4100" width="6.140625" style="503" customWidth="1"/>
    <col min="4101" max="4101" width="9.7109375" style="503" customWidth="1"/>
    <col min="4102" max="4102" width="23.28515625" style="503" customWidth="1"/>
    <col min="4103" max="4104" width="38" style="503" customWidth="1"/>
    <col min="4105" max="4105" width="4.85546875" style="503" customWidth="1"/>
    <col min="4106" max="4106" width="13.85546875" style="503" customWidth="1"/>
    <col min="4107" max="4118" width="14.85546875" style="503" customWidth="1"/>
    <col min="4119" max="4354" width="9.140625" style="503"/>
    <col min="4355" max="4355" width="5.7109375" style="503" customWidth="1"/>
    <col min="4356" max="4356" width="6.140625" style="503" customWidth="1"/>
    <col min="4357" max="4357" width="9.7109375" style="503" customWidth="1"/>
    <col min="4358" max="4358" width="23.28515625" style="503" customWidth="1"/>
    <col min="4359" max="4360" width="38" style="503" customWidth="1"/>
    <col min="4361" max="4361" width="4.85546875" style="503" customWidth="1"/>
    <col min="4362" max="4362" width="13.85546875" style="503" customWidth="1"/>
    <col min="4363" max="4374" width="14.85546875" style="503" customWidth="1"/>
    <col min="4375" max="4610" width="9.140625" style="503"/>
    <col min="4611" max="4611" width="5.7109375" style="503" customWidth="1"/>
    <col min="4612" max="4612" width="6.140625" style="503" customWidth="1"/>
    <col min="4613" max="4613" width="9.7109375" style="503" customWidth="1"/>
    <col min="4614" max="4614" width="23.28515625" style="503" customWidth="1"/>
    <col min="4615" max="4616" width="38" style="503" customWidth="1"/>
    <col min="4617" max="4617" width="4.85546875" style="503" customWidth="1"/>
    <col min="4618" max="4618" width="13.85546875" style="503" customWidth="1"/>
    <col min="4619" max="4630" width="14.85546875" style="503" customWidth="1"/>
    <col min="4631" max="4866" width="9.140625" style="503"/>
    <col min="4867" max="4867" width="5.7109375" style="503" customWidth="1"/>
    <col min="4868" max="4868" width="6.140625" style="503" customWidth="1"/>
    <col min="4869" max="4869" width="9.7109375" style="503" customWidth="1"/>
    <col min="4870" max="4870" width="23.28515625" style="503" customWidth="1"/>
    <col min="4871" max="4872" width="38" style="503" customWidth="1"/>
    <col min="4873" max="4873" width="4.85546875" style="503" customWidth="1"/>
    <col min="4874" max="4874" width="13.85546875" style="503" customWidth="1"/>
    <col min="4875" max="4886" width="14.85546875" style="503" customWidth="1"/>
    <col min="4887" max="5122" width="9.140625" style="503"/>
    <col min="5123" max="5123" width="5.7109375" style="503" customWidth="1"/>
    <col min="5124" max="5124" width="6.140625" style="503" customWidth="1"/>
    <col min="5125" max="5125" width="9.7109375" style="503" customWidth="1"/>
    <col min="5126" max="5126" width="23.28515625" style="503" customWidth="1"/>
    <col min="5127" max="5128" width="38" style="503" customWidth="1"/>
    <col min="5129" max="5129" width="4.85546875" style="503" customWidth="1"/>
    <col min="5130" max="5130" width="13.85546875" style="503" customWidth="1"/>
    <col min="5131" max="5142" width="14.85546875" style="503" customWidth="1"/>
    <col min="5143" max="5378" width="9.140625" style="503"/>
    <col min="5379" max="5379" width="5.7109375" style="503" customWidth="1"/>
    <col min="5380" max="5380" width="6.140625" style="503" customWidth="1"/>
    <col min="5381" max="5381" width="9.7109375" style="503" customWidth="1"/>
    <col min="5382" max="5382" width="23.28515625" style="503" customWidth="1"/>
    <col min="5383" max="5384" width="38" style="503" customWidth="1"/>
    <col min="5385" max="5385" width="4.85546875" style="503" customWidth="1"/>
    <col min="5386" max="5386" width="13.85546875" style="503" customWidth="1"/>
    <col min="5387" max="5398" width="14.85546875" style="503" customWidth="1"/>
    <col min="5399" max="5634" width="9.140625" style="503"/>
    <col min="5635" max="5635" width="5.7109375" style="503" customWidth="1"/>
    <col min="5636" max="5636" width="6.140625" style="503" customWidth="1"/>
    <col min="5637" max="5637" width="9.7109375" style="503" customWidth="1"/>
    <col min="5638" max="5638" width="23.28515625" style="503" customWidth="1"/>
    <col min="5639" max="5640" width="38" style="503" customWidth="1"/>
    <col min="5641" max="5641" width="4.85546875" style="503" customWidth="1"/>
    <col min="5642" max="5642" width="13.85546875" style="503" customWidth="1"/>
    <col min="5643" max="5654" width="14.85546875" style="503" customWidth="1"/>
    <col min="5655" max="5890" width="9.140625" style="503"/>
    <col min="5891" max="5891" width="5.7109375" style="503" customWidth="1"/>
    <col min="5892" max="5892" width="6.140625" style="503" customWidth="1"/>
    <col min="5893" max="5893" width="9.7109375" style="503" customWidth="1"/>
    <col min="5894" max="5894" width="23.28515625" style="503" customWidth="1"/>
    <col min="5895" max="5896" width="38" style="503" customWidth="1"/>
    <col min="5897" max="5897" width="4.85546875" style="503" customWidth="1"/>
    <col min="5898" max="5898" width="13.85546875" style="503" customWidth="1"/>
    <col min="5899" max="5910" width="14.85546875" style="503" customWidth="1"/>
    <col min="5911" max="6146" width="9.140625" style="503"/>
    <col min="6147" max="6147" width="5.7109375" style="503" customWidth="1"/>
    <col min="6148" max="6148" width="6.140625" style="503" customWidth="1"/>
    <col min="6149" max="6149" width="9.7109375" style="503" customWidth="1"/>
    <col min="6150" max="6150" width="23.28515625" style="503" customWidth="1"/>
    <col min="6151" max="6152" width="38" style="503" customWidth="1"/>
    <col min="6153" max="6153" width="4.85546875" style="503" customWidth="1"/>
    <col min="6154" max="6154" width="13.85546875" style="503" customWidth="1"/>
    <col min="6155" max="6166" width="14.85546875" style="503" customWidth="1"/>
    <col min="6167" max="6402" width="9.140625" style="503"/>
    <col min="6403" max="6403" width="5.7109375" style="503" customWidth="1"/>
    <col min="6404" max="6404" width="6.140625" style="503" customWidth="1"/>
    <col min="6405" max="6405" width="9.7109375" style="503" customWidth="1"/>
    <col min="6406" max="6406" width="23.28515625" style="503" customWidth="1"/>
    <col min="6407" max="6408" width="38" style="503" customWidth="1"/>
    <col min="6409" max="6409" width="4.85546875" style="503" customWidth="1"/>
    <col min="6410" max="6410" width="13.85546875" style="503" customWidth="1"/>
    <col min="6411" max="6422" width="14.85546875" style="503" customWidth="1"/>
    <col min="6423" max="6658" width="9.140625" style="503"/>
    <col min="6659" max="6659" width="5.7109375" style="503" customWidth="1"/>
    <col min="6660" max="6660" width="6.140625" style="503" customWidth="1"/>
    <col min="6661" max="6661" width="9.7109375" style="503" customWidth="1"/>
    <col min="6662" max="6662" width="23.28515625" style="503" customWidth="1"/>
    <col min="6663" max="6664" width="38" style="503" customWidth="1"/>
    <col min="6665" max="6665" width="4.85546875" style="503" customWidth="1"/>
    <col min="6666" max="6666" width="13.85546875" style="503" customWidth="1"/>
    <col min="6667" max="6678" width="14.85546875" style="503" customWidth="1"/>
    <col min="6679" max="6914" width="9.140625" style="503"/>
    <col min="6915" max="6915" width="5.7109375" style="503" customWidth="1"/>
    <col min="6916" max="6916" width="6.140625" style="503" customWidth="1"/>
    <col min="6917" max="6917" width="9.7109375" style="503" customWidth="1"/>
    <col min="6918" max="6918" width="23.28515625" style="503" customWidth="1"/>
    <col min="6919" max="6920" width="38" style="503" customWidth="1"/>
    <col min="6921" max="6921" width="4.85546875" style="503" customWidth="1"/>
    <col min="6922" max="6922" width="13.85546875" style="503" customWidth="1"/>
    <col min="6923" max="6934" width="14.85546875" style="503" customWidth="1"/>
    <col min="6935" max="7170" width="9.140625" style="503"/>
    <col min="7171" max="7171" width="5.7109375" style="503" customWidth="1"/>
    <col min="7172" max="7172" width="6.140625" style="503" customWidth="1"/>
    <col min="7173" max="7173" width="9.7109375" style="503" customWidth="1"/>
    <col min="7174" max="7174" width="23.28515625" style="503" customWidth="1"/>
    <col min="7175" max="7176" width="38" style="503" customWidth="1"/>
    <col min="7177" max="7177" width="4.85546875" style="503" customWidth="1"/>
    <col min="7178" max="7178" width="13.85546875" style="503" customWidth="1"/>
    <col min="7179" max="7190" width="14.85546875" style="503" customWidth="1"/>
    <col min="7191" max="7426" width="9.140625" style="503"/>
    <col min="7427" max="7427" width="5.7109375" style="503" customWidth="1"/>
    <col min="7428" max="7428" width="6.140625" style="503" customWidth="1"/>
    <col min="7429" max="7429" width="9.7109375" style="503" customWidth="1"/>
    <col min="7430" max="7430" width="23.28515625" style="503" customWidth="1"/>
    <col min="7431" max="7432" width="38" style="503" customWidth="1"/>
    <col min="7433" max="7433" width="4.85546875" style="503" customWidth="1"/>
    <col min="7434" max="7434" width="13.85546875" style="503" customWidth="1"/>
    <col min="7435" max="7446" width="14.85546875" style="503" customWidth="1"/>
    <col min="7447" max="7682" width="9.140625" style="503"/>
    <col min="7683" max="7683" width="5.7109375" style="503" customWidth="1"/>
    <col min="7684" max="7684" width="6.140625" style="503" customWidth="1"/>
    <col min="7685" max="7685" width="9.7109375" style="503" customWidth="1"/>
    <col min="7686" max="7686" width="23.28515625" style="503" customWidth="1"/>
    <col min="7687" max="7688" width="38" style="503" customWidth="1"/>
    <col min="7689" max="7689" width="4.85546875" style="503" customWidth="1"/>
    <col min="7690" max="7690" width="13.85546875" style="503" customWidth="1"/>
    <col min="7691" max="7702" width="14.85546875" style="503" customWidth="1"/>
    <col min="7703" max="7938" width="9.140625" style="503"/>
    <col min="7939" max="7939" width="5.7109375" style="503" customWidth="1"/>
    <col min="7940" max="7940" width="6.140625" style="503" customWidth="1"/>
    <col min="7941" max="7941" width="9.7109375" style="503" customWidth="1"/>
    <col min="7942" max="7942" width="23.28515625" style="503" customWidth="1"/>
    <col min="7943" max="7944" width="38" style="503" customWidth="1"/>
    <col min="7945" max="7945" width="4.85546875" style="503" customWidth="1"/>
    <col min="7946" max="7946" width="13.85546875" style="503" customWidth="1"/>
    <col min="7947" max="7958" width="14.85546875" style="503" customWidth="1"/>
    <col min="7959" max="8194" width="9.140625" style="503"/>
    <col min="8195" max="8195" width="5.7109375" style="503" customWidth="1"/>
    <col min="8196" max="8196" width="6.140625" style="503" customWidth="1"/>
    <col min="8197" max="8197" width="9.7109375" style="503" customWidth="1"/>
    <col min="8198" max="8198" width="23.28515625" style="503" customWidth="1"/>
    <col min="8199" max="8200" width="38" style="503" customWidth="1"/>
    <col min="8201" max="8201" width="4.85546875" style="503" customWidth="1"/>
    <col min="8202" max="8202" width="13.85546875" style="503" customWidth="1"/>
    <col min="8203" max="8214" width="14.85546875" style="503" customWidth="1"/>
    <col min="8215" max="8450" width="9.140625" style="503"/>
    <col min="8451" max="8451" width="5.7109375" style="503" customWidth="1"/>
    <col min="8452" max="8452" width="6.140625" style="503" customWidth="1"/>
    <col min="8453" max="8453" width="9.7109375" style="503" customWidth="1"/>
    <col min="8454" max="8454" width="23.28515625" style="503" customWidth="1"/>
    <col min="8455" max="8456" width="38" style="503" customWidth="1"/>
    <col min="8457" max="8457" width="4.85546875" style="503" customWidth="1"/>
    <col min="8458" max="8458" width="13.85546875" style="503" customWidth="1"/>
    <col min="8459" max="8470" width="14.85546875" style="503" customWidth="1"/>
    <col min="8471" max="8706" width="9.140625" style="503"/>
    <col min="8707" max="8707" width="5.7109375" style="503" customWidth="1"/>
    <col min="8708" max="8708" width="6.140625" style="503" customWidth="1"/>
    <col min="8709" max="8709" width="9.7109375" style="503" customWidth="1"/>
    <col min="8710" max="8710" width="23.28515625" style="503" customWidth="1"/>
    <col min="8711" max="8712" width="38" style="503" customWidth="1"/>
    <col min="8713" max="8713" width="4.85546875" style="503" customWidth="1"/>
    <col min="8714" max="8714" width="13.85546875" style="503" customWidth="1"/>
    <col min="8715" max="8726" width="14.85546875" style="503" customWidth="1"/>
    <col min="8727" max="8962" width="9.140625" style="503"/>
    <col min="8963" max="8963" width="5.7109375" style="503" customWidth="1"/>
    <col min="8964" max="8964" width="6.140625" style="503" customWidth="1"/>
    <col min="8965" max="8965" width="9.7109375" style="503" customWidth="1"/>
    <col min="8966" max="8966" width="23.28515625" style="503" customWidth="1"/>
    <col min="8967" max="8968" width="38" style="503" customWidth="1"/>
    <col min="8969" max="8969" width="4.85546875" style="503" customWidth="1"/>
    <col min="8970" max="8970" width="13.85546875" style="503" customWidth="1"/>
    <col min="8971" max="8982" width="14.85546875" style="503" customWidth="1"/>
    <col min="8983" max="9218" width="9.140625" style="503"/>
    <col min="9219" max="9219" width="5.7109375" style="503" customWidth="1"/>
    <col min="9220" max="9220" width="6.140625" style="503" customWidth="1"/>
    <col min="9221" max="9221" width="9.7109375" style="503" customWidth="1"/>
    <col min="9222" max="9222" width="23.28515625" style="503" customWidth="1"/>
    <col min="9223" max="9224" width="38" style="503" customWidth="1"/>
    <col min="9225" max="9225" width="4.85546875" style="503" customWidth="1"/>
    <col min="9226" max="9226" width="13.85546875" style="503" customWidth="1"/>
    <col min="9227" max="9238" width="14.85546875" style="503" customWidth="1"/>
    <col min="9239" max="9474" width="9.140625" style="503"/>
    <col min="9475" max="9475" width="5.7109375" style="503" customWidth="1"/>
    <col min="9476" max="9476" width="6.140625" style="503" customWidth="1"/>
    <col min="9477" max="9477" width="9.7109375" style="503" customWidth="1"/>
    <col min="9478" max="9478" width="23.28515625" style="503" customWidth="1"/>
    <col min="9479" max="9480" width="38" style="503" customWidth="1"/>
    <col min="9481" max="9481" width="4.85546875" style="503" customWidth="1"/>
    <col min="9482" max="9482" width="13.85546875" style="503" customWidth="1"/>
    <col min="9483" max="9494" width="14.85546875" style="503" customWidth="1"/>
    <col min="9495" max="9730" width="9.140625" style="503"/>
    <col min="9731" max="9731" width="5.7109375" style="503" customWidth="1"/>
    <col min="9732" max="9732" width="6.140625" style="503" customWidth="1"/>
    <col min="9733" max="9733" width="9.7109375" style="503" customWidth="1"/>
    <col min="9734" max="9734" width="23.28515625" style="503" customWidth="1"/>
    <col min="9735" max="9736" width="38" style="503" customWidth="1"/>
    <col min="9737" max="9737" width="4.85546875" style="503" customWidth="1"/>
    <col min="9738" max="9738" width="13.85546875" style="503" customWidth="1"/>
    <col min="9739" max="9750" width="14.85546875" style="503" customWidth="1"/>
    <col min="9751" max="9986" width="9.140625" style="503"/>
    <col min="9987" max="9987" width="5.7109375" style="503" customWidth="1"/>
    <col min="9988" max="9988" width="6.140625" style="503" customWidth="1"/>
    <col min="9989" max="9989" width="9.7109375" style="503" customWidth="1"/>
    <col min="9990" max="9990" width="23.28515625" style="503" customWidth="1"/>
    <col min="9991" max="9992" width="38" style="503" customWidth="1"/>
    <col min="9993" max="9993" width="4.85546875" style="503" customWidth="1"/>
    <col min="9994" max="9994" width="13.85546875" style="503" customWidth="1"/>
    <col min="9995" max="10006" width="14.85546875" style="503" customWidth="1"/>
    <col min="10007" max="10242" width="9.140625" style="503"/>
    <col min="10243" max="10243" width="5.7109375" style="503" customWidth="1"/>
    <col min="10244" max="10244" width="6.140625" style="503" customWidth="1"/>
    <col min="10245" max="10245" width="9.7109375" style="503" customWidth="1"/>
    <col min="10246" max="10246" width="23.28515625" style="503" customWidth="1"/>
    <col min="10247" max="10248" width="38" style="503" customWidth="1"/>
    <col min="10249" max="10249" width="4.85546875" style="503" customWidth="1"/>
    <col min="10250" max="10250" width="13.85546875" style="503" customWidth="1"/>
    <col min="10251" max="10262" width="14.85546875" style="503" customWidth="1"/>
    <col min="10263" max="10498" width="9.140625" style="503"/>
    <col min="10499" max="10499" width="5.7109375" style="503" customWidth="1"/>
    <col min="10500" max="10500" width="6.140625" style="503" customWidth="1"/>
    <col min="10501" max="10501" width="9.7109375" style="503" customWidth="1"/>
    <col min="10502" max="10502" width="23.28515625" style="503" customWidth="1"/>
    <col min="10503" max="10504" width="38" style="503" customWidth="1"/>
    <col min="10505" max="10505" width="4.85546875" style="503" customWidth="1"/>
    <col min="10506" max="10506" width="13.85546875" style="503" customWidth="1"/>
    <col min="10507" max="10518" width="14.85546875" style="503" customWidth="1"/>
    <col min="10519" max="10754" width="9.140625" style="503"/>
    <col min="10755" max="10755" width="5.7109375" style="503" customWidth="1"/>
    <col min="10756" max="10756" width="6.140625" style="503" customWidth="1"/>
    <col min="10757" max="10757" width="9.7109375" style="503" customWidth="1"/>
    <col min="10758" max="10758" width="23.28515625" style="503" customWidth="1"/>
    <col min="10759" max="10760" width="38" style="503" customWidth="1"/>
    <col min="10761" max="10761" width="4.85546875" style="503" customWidth="1"/>
    <col min="10762" max="10762" width="13.85546875" style="503" customWidth="1"/>
    <col min="10763" max="10774" width="14.85546875" style="503" customWidth="1"/>
    <col min="10775" max="11010" width="9.140625" style="503"/>
    <col min="11011" max="11011" width="5.7109375" style="503" customWidth="1"/>
    <col min="11012" max="11012" width="6.140625" style="503" customWidth="1"/>
    <col min="11013" max="11013" width="9.7109375" style="503" customWidth="1"/>
    <col min="11014" max="11014" width="23.28515625" style="503" customWidth="1"/>
    <col min="11015" max="11016" width="38" style="503" customWidth="1"/>
    <col min="11017" max="11017" width="4.85546875" style="503" customWidth="1"/>
    <col min="11018" max="11018" width="13.85546875" style="503" customWidth="1"/>
    <col min="11019" max="11030" width="14.85546875" style="503" customWidth="1"/>
    <col min="11031" max="11266" width="9.140625" style="503"/>
    <col min="11267" max="11267" width="5.7109375" style="503" customWidth="1"/>
    <col min="11268" max="11268" width="6.140625" style="503" customWidth="1"/>
    <col min="11269" max="11269" width="9.7109375" style="503" customWidth="1"/>
    <col min="11270" max="11270" width="23.28515625" style="503" customWidth="1"/>
    <col min="11271" max="11272" width="38" style="503" customWidth="1"/>
    <col min="11273" max="11273" width="4.85546875" style="503" customWidth="1"/>
    <col min="11274" max="11274" width="13.85546875" style="503" customWidth="1"/>
    <col min="11275" max="11286" width="14.85546875" style="503" customWidth="1"/>
    <col min="11287" max="11522" width="9.140625" style="503"/>
    <col min="11523" max="11523" width="5.7109375" style="503" customWidth="1"/>
    <col min="11524" max="11524" width="6.140625" style="503" customWidth="1"/>
    <col min="11525" max="11525" width="9.7109375" style="503" customWidth="1"/>
    <col min="11526" max="11526" width="23.28515625" style="503" customWidth="1"/>
    <col min="11527" max="11528" width="38" style="503" customWidth="1"/>
    <col min="11529" max="11529" width="4.85546875" style="503" customWidth="1"/>
    <col min="11530" max="11530" width="13.85546875" style="503" customWidth="1"/>
    <col min="11531" max="11542" width="14.85546875" style="503" customWidth="1"/>
    <col min="11543" max="11778" width="9.140625" style="503"/>
    <col min="11779" max="11779" width="5.7109375" style="503" customWidth="1"/>
    <col min="11780" max="11780" width="6.140625" style="503" customWidth="1"/>
    <col min="11781" max="11781" width="9.7109375" style="503" customWidth="1"/>
    <col min="11782" max="11782" width="23.28515625" style="503" customWidth="1"/>
    <col min="11783" max="11784" width="38" style="503" customWidth="1"/>
    <col min="11785" max="11785" width="4.85546875" style="503" customWidth="1"/>
    <col min="11786" max="11786" width="13.85546875" style="503" customWidth="1"/>
    <col min="11787" max="11798" width="14.85546875" style="503" customWidth="1"/>
    <col min="11799" max="12034" width="9.140625" style="503"/>
    <col min="12035" max="12035" width="5.7109375" style="503" customWidth="1"/>
    <col min="12036" max="12036" width="6.140625" style="503" customWidth="1"/>
    <col min="12037" max="12037" width="9.7109375" style="503" customWidth="1"/>
    <col min="12038" max="12038" width="23.28515625" style="503" customWidth="1"/>
    <col min="12039" max="12040" width="38" style="503" customWidth="1"/>
    <col min="12041" max="12041" width="4.85546875" style="503" customWidth="1"/>
    <col min="12042" max="12042" width="13.85546875" style="503" customWidth="1"/>
    <col min="12043" max="12054" width="14.85546875" style="503" customWidth="1"/>
    <col min="12055" max="12290" width="9.140625" style="503"/>
    <col min="12291" max="12291" width="5.7109375" style="503" customWidth="1"/>
    <col min="12292" max="12292" width="6.140625" style="503" customWidth="1"/>
    <col min="12293" max="12293" width="9.7109375" style="503" customWidth="1"/>
    <col min="12294" max="12294" width="23.28515625" style="503" customWidth="1"/>
    <col min="12295" max="12296" width="38" style="503" customWidth="1"/>
    <col min="12297" max="12297" width="4.85546875" style="503" customWidth="1"/>
    <col min="12298" max="12298" width="13.85546875" style="503" customWidth="1"/>
    <col min="12299" max="12310" width="14.85546875" style="503" customWidth="1"/>
    <col min="12311" max="12546" width="9.140625" style="503"/>
    <col min="12547" max="12547" width="5.7109375" style="503" customWidth="1"/>
    <col min="12548" max="12548" width="6.140625" style="503" customWidth="1"/>
    <col min="12549" max="12549" width="9.7109375" style="503" customWidth="1"/>
    <col min="12550" max="12550" width="23.28515625" style="503" customWidth="1"/>
    <col min="12551" max="12552" width="38" style="503" customWidth="1"/>
    <col min="12553" max="12553" width="4.85546875" style="503" customWidth="1"/>
    <col min="12554" max="12554" width="13.85546875" style="503" customWidth="1"/>
    <col min="12555" max="12566" width="14.85546875" style="503" customWidth="1"/>
    <col min="12567" max="12802" width="9.140625" style="503"/>
    <col min="12803" max="12803" width="5.7109375" style="503" customWidth="1"/>
    <col min="12804" max="12804" width="6.140625" style="503" customWidth="1"/>
    <col min="12805" max="12805" width="9.7109375" style="503" customWidth="1"/>
    <col min="12806" max="12806" width="23.28515625" style="503" customWidth="1"/>
    <col min="12807" max="12808" width="38" style="503" customWidth="1"/>
    <col min="12809" max="12809" width="4.85546875" style="503" customWidth="1"/>
    <col min="12810" max="12810" width="13.85546875" style="503" customWidth="1"/>
    <col min="12811" max="12822" width="14.85546875" style="503" customWidth="1"/>
    <col min="12823" max="13058" width="9.140625" style="503"/>
    <col min="13059" max="13059" width="5.7109375" style="503" customWidth="1"/>
    <col min="13060" max="13060" width="6.140625" style="503" customWidth="1"/>
    <col min="13061" max="13061" width="9.7109375" style="503" customWidth="1"/>
    <col min="13062" max="13062" width="23.28515625" style="503" customWidth="1"/>
    <col min="13063" max="13064" width="38" style="503" customWidth="1"/>
    <col min="13065" max="13065" width="4.85546875" style="503" customWidth="1"/>
    <col min="13066" max="13066" width="13.85546875" style="503" customWidth="1"/>
    <col min="13067" max="13078" width="14.85546875" style="503" customWidth="1"/>
    <col min="13079" max="13314" width="9.140625" style="503"/>
    <col min="13315" max="13315" width="5.7109375" style="503" customWidth="1"/>
    <col min="13316" max="13316" width="6.140625" style="503" customWidth="1"/>
    <col min="13317" max="13317" width="9.7109375" style="503" customWidth="1"/>
    <col min="13318" max="13318" width="23.28515625" style="503" customWidth="1"/>
    <col min="13319" max="13320" width="38" style="503" customWidth="1"/>
    <col min="13321" max="13321" width="4.85546875" style="503" customWidth="1"/>
    <col min="13322" max="13322" width="13.85546875" style="503" customWidth="1"/>
    <col min="13323" max="13334" width="14.85546875" style="503" customWidth="1"/>
    <col min="13335" max="13570" width="9.140625" style="503"/>
    <col min="13571" max="13571" width="5.7109375" style="503" customWidth="1"/>
    <col min="13572" max="13572" width="6.140625" style="503" customWidth="1"/>
    <col min="13573" max="13573" width="9.7109375" style="503" customWidth="1"/>
    <col min="13574" max="13574" width="23.28515625" style="503" customWidth="1"/>
    <col min="13575" max="13576" width="38" style="503" customWidth="1"/>
    <col min="13577" max="13577" width="4.85546875" style="503" customWidth="1"/>
    <col min="13578" max="13578" width="13.85546875" style="503" customWidth="1"/>
    <col min="13579" max="13590" width="14.85546875" style="503" customWidth="1"/>
    <col min="13591" max="13826" width="9.140625" style="503"/>
    <col min="13827" max="13827" width="5.7109375" style="503" customWidth="1"/>
    <col min="13828" max="13828" width="6.140625" style="503" customWidth="1"/>
    <col min="13829" max="13829" width="9.7109375" style="503" customWidth="1"/>
    <col min="13830" max="13830" width="23.28515625" style="503" customWidth="1"/>
    <col min="13831" max="13832" width="38" style="503" customWidth="1"/>
    <col min="13833" max="13833" width="4.85546875" style="503" customWidth="1"/>
    <col min="13834" max="13834" width="13.85546875" style="503" customWidth="1"/>
    <col min="13835" max="13846" width="14.85546875" style="503" customWidth="1"/>
    <col min="13847" max="14082" width="9.140625" style="503"/>
    <col min="14083" max="14083" width="5.7109375" style="503" customWidth="1"/>
    <col min="14084" max="14084" width="6.140625" style="503" customWidth="1"/>
    <col min="14085" max="14085" width="9.7109375" style="503" customWidth="1"/>
    <col min="14086" max="14086" width="23.28515625" style="503" customWidth="1"/>
    <col min="14087" max="14088" width="38" style="503" customWidth="1"/>
    <col min="14089" max="14089" width="4.85546875" style="503" customWidth="1"/>
    <col min="14090" max="14090" width="13.85546875" style="503" customWidth="1"/>
    <col min="14091" max="14102" width="14.85546875" style="503" customWidth="1"/>
    <col min="14103" max="14338" width="9.140625" style="503"/>
    <col min="14339" max="14339" width="5.7109375" style="503" customWidth="1"/>
    <col min="14340" max="14340" width="6.140625" style="503" customWidth="1"/>
    <col min="14341" max="14341" width="9.7109375" style="503" customWidth="1"/>
    <col min="14342" max="14342" width="23.28515625" style="503" customWidth="1"/>
    <col min="14343" max="14344" width="38" style="503" customWidth="1"/>
    <col min="14345" max="14345" width="4.85546875" style="503" customWidth="1"/>
    <col min="14346" max="14346" width="13.85546875" style="503" customWidth="1"/>
    <col min="14347" max="14358" width="14.85546875" style="503" customWidth="1"/>
    <col min="14359" max="14594" width="9.140625" style="503"/>
    <col min="14595" max="14595" width="5.7109375" style="503" customWidth="1"/>
    <col min="14596" max="14596" width="6.140625" style="503" customWidth="1"/>
    <col min="14597" max="14597" width="9.7109375" style="503" customWidth="1"/>
    <col min="14598" max="14598" width="23.28515625" style="503" customWidth="1"/>
    <col min="14599" max="14600" width="38" style="503" customWidth="1"/>
    <col min="14601" max="14601" width="4.85546875" style="503" customWidth="1"/>
    <col min="14602" max="14602" width="13.85546875" style="503" customWidth="1"/>
    <col min="14603" max="14614" width="14.85546875" style="503" customWidth="1"/>
    <col min="14615" max="14850" width="9.140625" style="503"/>
    <col min="14851" max="14851" width="5.7109375" style="503" customWidth="1"/>
    <col min="14852" max="14852" width="6.140625" style="503" customWidth="1"/>
    <col min="14853" max="14853" width="9.7109375" style="503" customWidth="1"/>
    <col min="14854" max="14854" width="23.28515625" style="503" customWidth="1"/>
    <col min="14855" max="14856" width="38" style="503" customWidth="1"/>
    <col min="14857" max="14857" width="4.85546875" style="503" customWidth="1"/>
    <col min="14858" max="14858" width="13.85546875" style="503" customWidth="1"/>
    <col min="14859" max="14870" width="14.85546875" style="503" customWidth="1"/>
    <col min="14871" max="15106" width="9.140625" style="503"/>
    <col min="15107" max="15107" width="5.7109375" style="503" customWidth="1"/>
    <col min="15108" max="15108" width="6.140625" style="503" customWidth="1"/>
    <col min="15109" max="15109" width="9.7109375" style="503" customWidth="1"/>
    <col min="15110" max="15110" width="23.28515625" style="503" customWidth="1"/>
    <col min="15111" max="15112" width="38" style="503" customWidth="1"/>
    <col min="15113" max="15113" width="4.85546875" style="503" customWidth="1"/>
    <col min="15114" max="15114" width="13.85546875" style="503" customWidth="1"/>
    <col min="15115" max="15126" width="14.85546875" style="503" customWidth="1"/>
    <col min="15127" max="15362" width="9.140625" style="503"/>
    <col min="15363" max="15363" width="5.7109375" style="503" customWidth="1"/>
    <col min="15364" max="15364" width="6.140625" style="503" customWidth="1"/>
    <col min="15365" max="15365" width="9.7109375" style="503" customWidth="1"/>
    <col min="15366" max="15366" width="23.28515625" style="503" customWidth="1"/>
    <col min="15367" max="15368" width="38" style="503" customWidth="1"/>
    <col min="15369" max="15369" width="4.85546875" style="503" customWidth="1"/>
    <col min="15370" max="15370" width="13.85546875" style="503" customWidth="1"/>
    <col min="15371" max="15382" width="14.85546875" style="503" customWidth="1"/>
    <col min="15383" max="15618" width="9.140625" style="503"/>
    <col min="15619" max="15619" width="5.7109375" style="503" customWidth="1"/>
    <col min="15620" max="15620" width="6.140625" style="503" customWidth="1"/>
    <col min="15621" max="15621" width="9.7109375" style="503" customWidth="1"/>
    <col min="15622" max="15622" width="23.28515625" style="503" customWidth="1"/>
    <col min="15623" max="15624" width="38" style="503" customWidth="1"/>
    <col min="15625" max="15625" width="4.85546875" style="503" customWidth="1"/>
    <col min="15626" max="15626" width="13.85546875" style="503" customWidth="1"/>
    <col min="15627" max="15638" width="14.85546875" style="503" customWidth="1"/>
    <col min="15639" max="15874" width="9.140625" style="503"/>
    <col min="15875" max="15875" width="5.7109375" style="503" customWidth="1"/>
    <col min="15876" max="15876" width="6.140625" style="503" customWidth="1"/>
    <col min="15877" max="15877" width="9.7109375" style="503" customWidth="1"/>
    <col min="15878" max="15878" width="23.28515625" style="503" customWidth="1"/>
    <col min="15879" max="15880" width="38" style="503" customWidth="1"/>
    <col min="15881" max="15881" width="4.85546875" style="503" customWidth="1"/>
    <col min="15882" max="15882" width="13.85546875" style="503" customWidth="1"/>
    <col min="15883" max="15894" width="14.85546875" style="503" customWidth="1"/>
    <col min="15895" max="16130" width="9.140625" style="503"/>
    <col min="16131" max="16131" width="5.7109375" style="503" customWidth="1"/>
    <col min="16132" max="16132" width="6.140625" style="503" customWidth="1"/>
    <col min="16133" max="16133" width="9.7109375" style="503" customWidth="1"/>
    <col min="16134" max="16134" width="23.28515625" style="503" customWidth="1"/>
    <col min="16135" max="16136" width="38" style="503" customWidth="1"/>
    <col min="16137" max="16137" width="4.85546875" style="503" customWidth="1"/>
    <col min="16138" max="16138" width="13.85546875" style="503" customWidth="1"/>
    <col min="16139" max="16150" width="14.85546875" style="503" customWidth="1"/>
    <col min="16151" max="16384" width="9.140625" style="503"/>
  </cols>
  <sheetData>
    <row r="1" spans="1:31" ht="26.25">
      <c r="A1" s="498" t="s">
        <v>332</v>
      </c>
      <c r="B1" s="499"/>
      <c r="C1" s="500"/>
      <c r="D1" s="500"/>
      <c r="E1" s="500"/>
    </row>
    <row r="2" spans="1:31" ht="26.25">
      <c r="A2" s="498" t="s">
        <v>333</v>
      </c>
      <c r="B2" s="499"/>
      <c r="C2" s="500"/>
      <c r="D2" s="500"/>
      <c r="E2" s="500"/>
    </row>
    <row r="3" spans="1:31" ht="26.25">
      <c r="A3" s="498"/>
      <c r="B3" s="499"/>
      <c r="C3" s="500"/>
      <c r="D3" s="500"/>
      <c r="E3" s="500"/>
    </row>
    <row r="4" spans="1:31" ht="26.25" customHeight="1">
      <c r="A4" s="504" t="s">
        <v>0</v>
      </c>
      <c r="B4" s="505"/>
      <c r="C4" s="506"/>
      <c r="D4" s="649" t="s">
        <v>334</v>
      </c>
      <c r="E4" s="649"/>
    </row>
    <row r="5" spans="1:31" ht="26.25" customHeight="1">
      <c r="A5" s="504" t="s">
        <v>1</v>
      </c>
      <c r="B5" s="505"/>
      <c r="C5" s="506"/>
      <c r="D5" s="649" t="s">
        <v>335</v>
      </c>
      <c r="E5" s="649"/>
    </row>
    <row r="6" spans="1:31">
      <c r="A6" s="507"/>
    </row>
    <row r="7" spans="1:31" ht="16.5" thickBot="1">
      <c r="A7" s="509" t="s">
        <v>336</v>
      </c>
      <c r="B7" s="510"/>
      <c r="C7" s="511"/>
      <c r="D7" s="512"/>
      <c r="E7" s="512"/>
      <c r="F7" s="513"/>
      <c r="G7" s="513"/>
      <c r="H7" s="513"/>
      <c r="I7" s="514"/>
      <c r="J7" s="513"/>
      <c r="K7" s="513"/>
      <c r="L7" s="513"/>
      <c r="M7" s="513"/>
      <c r="N7" s="513"/>
      <c r="O7" s="513"/>
      <c r="P7" s="513"/>
      <c r="Q7" s="513"/>
      <c r="R7" s="513"/>
      <c r="S7" s="513"/>
    </row>
    <row r="8" spans="1:31" s="518" customFormat="1" ht="33.6" customHeight="1" thickTop="1" thickBot="1">
      <c r="A8" s="515" t="s">
        <v>337</v>
      </c>
      <c r="B8" s="650" t="s">
        <v>338</v>
      </c>
      <c r="C8" s="651"/>
      <c r="D8" s="651"/>
      <c r="E8" s="652"/>
      <c r="F8" s="515"/>
      <c r="G8" s="516" t="s">
        <v>339</v>
      </c>
      <c r="H8" s="516" t="s">
        <v>340</v>
      </c>
      <c r="I8" s="516" t="s">
        <v>341</v>
      </c>
      <c r="J8" s="516" t="s">
        <v>342</v>
      </c>
      <c r="K8" s="517" t="s">
        <v>343</v>
      </c>
      <c r="L8" s="516" t="s">
        <v>344</v>
      </c>
      <c r="M8" s="516" t="s">
        <v>345</v>
      </c>
      <c r="N8" s="517" t="s">
        <v>346</v>
      </c>
      <c r="O8" s="516" t="s">
        <v>347</v>
      </c>
      <c r="P8" s="516" t="s">
        <v>348</v>
      </c>
      <c r="Q8" s="516" t="s">
        <v>349</v>
      </c>
      <c r="R8" s="517" t="s">
        <v>350</v>
      </c>
      <c r="S8" s="517" t="s">
        <v>351</v>
      </c>
      <c r="T8" s="517" t="s">
        <v>352</v>
      </c>
      <c r="U8" s="516" t="s">
        <v>353</v>
      </c>
      <c r="V8" s="516" t="s">
        <v>354</v>
      </c>
      <c r="W8" s="516" t="s">
        <v>355</v>
      </c>
      <c r="X8" s="516" t="s">
        <v>356</v>
      </c>
      <c r="Y8" s="516" t="s">
        <v>357</v>
      </c>
      <c r="Z8" s="516" t="s">
        <v>358</v>
      </c>
      <c r="AA8" s="516">
        <v>86</v>
      </c>
      <c r="AB8" s="516" t="s">
        <v>359</v>
      </c>
      <c r="AC8" s="516" t="s">
        <v>360</v>
      </c>
      <c r="AD8" s="517" t="s">
        <v>361</v>
      </c>
      <c r="AE8" s="517" t="s">
        <v>362</v>
      </c>
    </row>
    <row r="9" spans="1:31" ht="30" customHeight="1" thickTop="1">
      <c r="A9" s="519">
        <v>1</v>
      </c>
      <c r="B9" s="510" t="s">
        <v>16</v>
      </c>
      <c r="C9" s="511"/>
      <c r="D9" s="512"/>
      <c r="E9" s="520"/>
      <c r="F9" s="513"/>
      <c r="G9" s="514"/>
      <c r="H9" s="513"/>
      <c r="I9" s="514"/>
      <c r="J9" s="513"/>
      <c r="K9" s="513"/>
      <c r="L9" s="513"/>
      <c r="M9" s="513"/>
      <c r="N9" s="513"/>
      <c r="O9" s="513"/>
      <c r="P9" s="513"/>
      <c r="Q9" s="513"/>
      <c r="R9" s="513"/>
      <c r="S9" s="521"/>
    </row>
    <row r="10" spans="1:31" ht="30" customHeight="1">
      <c r="A10" s="522"/>
      <c r="B10" s="510"/>
      <c r="C10" s="523" t="s">
        <v>363</v>
      </c>
      <c r="D10" s="524"/>
      <c r="E10" s="525"/>
      <c r="F10" s="526"/>
      <c r="G10" s="527"/>
      <c r="H10" s="528"/>
      <c r="I10" s="529"/>
      <c r="J10" s="530"/>
      <c r="K10" s="530"/>
      <c r="L10" s="530"/>
      <c r="M10" s="530"/>
      <c r="N10" s="530"/>
      <c r="O10" s="530"/>
      <c r="P10" s="530"/>
      <c r="Q10" s="530"/>
      <c r="R10" s="530"/>
      <c r="S10" s="531"/>
      <c r="T10" s="531"/>
      <c r="U10" s="531"/>
      <c r="V10" s="531"/>
      <c r="W10" s="531"/>
      <c r="X10" s="531"/>
      <c r="Y10" s="531"/>
      <c r="Z10" s="531"/>
      <c r="AA10" s="531"/>
      <c r="AB10" s="531"/>
      <c r="AC10" s="531"/>
      <c r="AD10" s="531"/>
      <c r="AE10" s="531"/>
    </row>
    <row r="11" spans="1:31" ht="30" customHeight="1">
      <c r="A11" s="522"/>
      <c r="B11" s="510"/>
      <c r="C11" s="653" t="s">
        <v>17</v>
      </c>
      <c r="D11" s="656" t="s">
        <v>18</v>
      </c>
      <c r="E11" s="532">
        <v>10</v>
      </c>
      <c r="F11" s="526">
        <v>1</v>
      </c>
      <c r="G11" s="533">
        <v>6</v>
      </c>
      <c r="H11" s="533">
        <v>1</v>
      </c>
      <c r="I11" s="533">
        <v>17</v>
      </c>
      <c r="J11" s="533">
        <v>0</v>
      </c>
      <c r="K11" s="533">
        <v>0</v>
      </c>
      <c r="L11" s="533">
        <v>0</v>
      </c>
      <c r="M11" s="533">
        <v>0</v>
      </c>
      <c r="N11" s="533">
        <v>0</v>
      </c>
      <c r="O11" s="533">
        <v>3</v>
      </c>
      <c r="P11" s="533">
        <v>2</v>
      </c>
      <c r="Q11" s="533">
        <v>0</v>
      </c>
      <c r="R11" s="533">
        <v>0</v>
      </c>
      <c r="S11" s="533">
        <v>13</v>
      </c>
      <c r="T11" s="533">
        <v>0</v>
      </c>
      <c r="U11" s="533">
        <v>0</v>
      </c>
      <c r="V11" s="533">
        <v>0</v>
      </c>
      <c r="W11" s="534">
        <v>0</v>
      </c>
      <c r="X11" s="533">
        <v>7</v>
      </c>
      <c r="Y11" s="533">
        <v>0</v>
      </c>
      <c r="Z11" s="533">
        <v>5</v>
      </c>
      <c r="AA11" s="533">
        <v>0</v>
      </c>
      <c r="AB11" s="533">
        <v>0</v>
      </c>
      <c r="AC11" s="533">
        <v>10</v>
      </c>
      <c r="AD11" s="533">
        <v>0</v>
      </c>
      <c r="AE11" s="533">
        <v>0</v>
      </c>
    </row>
    <row r="12" spans="1:31" ht="30" customHeight="1">
      <c r="A12" s="522"/>
      <c r="B12" s="510"/>
      <c r="C12" s="654"/>
      <c r="D12" s="657"/>
      <c r="E12" s="532">
        <v>20</v>
      </c>
      <c r="F12" s="526">
        <v>2</v>
      </c>
      <c r="G12" s="533">
        <v>15</v>
      </c>
      <c r="H12" s="533">
        <v>1</v>
      </c>
      <c r="I12" s="533">
        <v>31</v>
      </c>
      <c r="J12" s="533">
        <v>0</v>
      </c>
      <c r="K12" s="533">
        <v>0</v>
      </c>
      <c r="L12" s="533">
        <v>0</v>
      </c>
      <c r="M12" s="533">
        <v>0</v>
      </c>
      <c r="N12" s="535">
        <v>0</v>
      </c>
      <c r="O12" s="533">
        <v>4</v>
      </c>
      <c r="P12" s="533">
        <v>0</v>
      </c>
      <c r="Q12" s="533">
        <v>1</v>
      </c>
      <c r="R12" s="533">
        <v>0</v>
      </c>
      <c r="S12" s="533">
        <v>16</v>
      </c>
      <c r="T12" s="533">
        <v>0</v>
      </c>
      <c r="U12" s="533">
        <v>0</v>
      </c>
      <c r="V12" s="533">
        <v>0</v>
      </c>
      <c r="W12" s="534">
        <v>0</v>
      </c>
      <c r="X12" s="533">
        <v>16</v>
      </c>
      <c r="Y12" s="533">
        <v>0</v>
      </c>
      <c r="Z12" s="533">
        <v>5</v>
      </c>
      <c r="AA12" s="533">
        <v>0</v>
      </c>
      <c r="AB12" s="533">
        <v>0</v>
      </c>
      <c r="AC12" s="533">
        <v>15</v>
      </c>
      <c r="AD12" s="533">
        <v>0</v>
      </c>
      <c r="AE12" s="533">
        <v>0</v>
      </c>
    </row>
    <row r="13" spans="1:31" ht="30" customHeight="1">
      <c r="A13" s="522"/>
      <c r="B13" s="510"/>
      <c r="C13" s="654"/>
      <c r="D13" s="657"/>
      <c r="E13" s="532">
        <v>30</v>
      </c>
      <c r="F13" s="526">
        <v>3</v>
      </c>
      <c r="G13" s="533">
        <v>3</v>
      </c>
      <c r="H13" s="533">
        <v>0</v>
      </c>
      <c r="I13" s="533">
        <v>21</v>
      </c>
      <c r="J13" s="533">
        <v>0</v>
      </c>
      <c r="K13" s="533">
        <v>0</v>
      </c>
      <c r="L13" s="533">
        <v>0</v>
      </c>
      <c r="M13" s="533">
        <v>0</v>
      </c>
      <c r="N13" s="535">
        <v>0</v>
      </c>
      <c r="O13" s="533">
        <v>1</v>
      </c>
      <c r="P13" s="533">
        <v>1</v>
      </c>
      <c r="Q13" s="533">
        <v>3</v>
      </c>
      <c r="R13" s="533">
        <v>0</v>
      </c>
      <c r="S13" s="533">
        <v>25</v>
      </c>
      <c r="T13" s="533">
        <v>0</v>
      </c>
      <c r="U13" s="533">
        <v>0</v>
      </c>
      <c r="V13" s="533">
        <v>0</v>
      </c>
      <c r="W13" s="534">
        <v>0</v>
      </c>
      <c r="X13" s="533">
        <v>16</v>
      </c>
      <c r="Y13" s="533">
        <v>0</v>
      </c>
      <c r="Z13" s="533">
        <v>2</v>
      </c>
      <c r="AA13" s="533">
        <v>0</v>
      </c>
      <c r="AB13" s="533">
        <v>1</v>
      </c>
      <c r="AC13" s="533">
        <v>11</v>
      </c>
      <c r="AD13" s="533">
        <v>0</v>
      </c>
      <c r="AE13" s="533">
        <v>0</v>
      </c>
    </row>
    <row r="14" spans="1:31" ht="30" customHeight="1">
      <c r="A14" s="522"/>
      <c r="B14" s="510"/>
      <c r="C14" s="654"/>
      <c r="D14" s="657"/>
      <c r="E14" s="532">
        <v>40</v>
      </c>
      <c r="F14" s="526">
        <v>4</v>
      </c>
      <c r="G14" s="533">
        <v>8</v>
      </c>
      <c r="H14" s="533">
        <v>0</v>
      </c>
      <c r="I14" s="533">
        <v>41</v>
      </c>
      <c r="J14" s="533">
        <v>0</v>
      </c>
      <c r="K14" s="533">
        <v>0</v>
      </c>
      <c r="L14" s="533">
        <v>0</v>
      </c>
      <c r="M14" s="533">
        <v>0</v>
      </c>
      <c r="N14" s="535">
        <v>0</v>
      </c>
      <c r="O14" s="533">
        <v>0</v>
      </c>
      <c r="P14" s="533">
        <v>0</v>
      </c>
      <c r="Q14" s="533">
        <v>0</v>
      </c>
      <c r="R14" s="533">
        <v>0</v>
      </c>
      <c r="S14" s="533">
        <v>16</v>
      </c>
      <c r="T14" s="533">
        <v>0</v>
      </c>
      <c r="U14" s="533">
        <v>0</v>
      </c>
      <c r="V14" s="533">
        <v>0</v>
      </c>
      <c r="W14" s="534">
        <v>0</v>
      </c>
      <c r="X14" s="533">
        <v>6</v>
      </c>
      <c r="Y14" s="533">
        <v>0</v>
      </c>
      <c r="Z14" s="533">
        <v>6</v>
      </c>
      <c r="AA14" s="533">
        <v>1</v>
      </c>
      <c r="AB14" s="533">
        <v>0</v>
      </c>
      <c r="AC14" s="533">
        <v>2</v>
      </c>
      <c r="AD14" s="533">
        <v>0</v>
      </c>
      <c r="AE14" s="533">
        <v>0</v>
      </c>
    </row>
    <row r="15" spans="1:31" ht="30" customHeight="1">
      <c r="A15" s="522"/>
      <c r="B15" s="510"/>
      <c r="C15" s="654"/>
      <c r="D15" s="657"/>
      <c r="E15" s="532">
        <v>50</v>
      </c>
      <c r="F15" s="526">
        <v>5</v>
      </c>
      <c r="G15" s="533">
        <v>5</v>
      </c>
      <c r="H15" s="533">
        <v>0</v>
      </c>
      <c r="I15" s="533">
        <v>36</v>
      </c>
      <c r="J15" s="533">
        <v>0</v>
      </c>
      <c r="K15" s="533">
        <v>0</v>
      </c>
      <c r="L15" s="533">
        <v>1</v>
      </c>
      <c r="M15" s="533">
        <v>0</v>
      </c>
      <c r="N15" s="535">
        <v>0</v>
      </c>
      <c r="O15" s="533">
        <v>1</v>
      </c>
      <c r="P15" s="533">
        <v>0</v>
      </c>
      <c r="Q15" s="533">
        <v>1</v>
      </c>
      <c r="R15" s="533">
        <v>0</v>
      </c>
      <c r="S15" s="533">
        <v>15</v>
      </c>
      <c r="T15" s="533">
        <v>0</v>
      </c>
      <c r="U15" s="533">
        <v>0</v>
      </c>
      <c r="V15" s="533">
        <v>0</v>
      </c>
      <c r="W15" s="534">
        <v>0</v>
      </c>
      <c r="X15" s="533">
        <v>10</v>
      </c>
      <c r="Y15" s="533">
        <v>0</v>
      </c>
      <c r="Z15" s="533">
        <v>2</v>
      </c>
      <c r="AA15" s="533">
        <v>0</v>
      </c>
      <c r="AB15" s="533">
        <v>1</v>
      </c>
      <c r="AC15" s="533">
        <v>5</v>
      </c>
      <c r="AD15" s="533">
        <v>0</v>
      </c>
      <c r="AE15" s="533">
        <v>0</v>
      </c>
    </row>
    <row r="16" spans="1:31" ht="30" customHeight="1">
      <c r="A16" s="522"/>
      <c r="B16" s="510"/>
      <c r="C16" s="654"/>
      <c r="D16" s="657"/>
      <c r="E16" s="532">
        <v>60</v>
      </c>
      <c r="F16" s="526">
        <v>6</v>
      </c>
      <c r="G16" s="533">
        <v>13</v>
      </c>
      <c r="H16" s="533">
        <v>0</v>
      </c>
      <c r="I16" s="533">
        <v>10</v>
      </c>
      <c r="J16" s="533">
        <v>0</v>
      </c>
      <c r="K16" s="533">
        <v>0</v>
      </c>
      <c r="L16" s="533">
        <v>0</v>
      </c>
      <c r="M16" s="533">
        <v>0</v>
      </c>
      <c r="N16" s="535">
        <v>0</v>
      </c>
      <c r="O16" s="533">
        <v>1</v>
      </c>
      <c r="P16" s="533">
        <v>0</v>
      </c>
      <c r="Q16" s="533">
        <v>0</v>
      </c>
      <c r="R16" s="533">
        <v>0</v>
      </c>
      <c r="S16" s="533">
        <v>3</v>
      </c>
      <c r="T16" s="533">
        <v>0</v>
      </c>
      <c r="U16" s="533">
        <v>0</v>
      </c>
      <c r="V16" s="533">
        <v>0</v>
      </c>
      <c r="W16" s="534">
        <v>0</v>
      </c>
      <c r="X16" s="533">
        <v>5</v>
      </c>
      <c r="Y16" s="533">
        <v>0</v>
      </c>
      <c r="Z16" s="533">
        <v>5</v>
      </c>
      <c r="AA16" s="533">
        <v>0</v>
      </c>
      <c r="AB16" s="533">
        <v>1</v>
      </c>
      <c r="AC16" s="533">
        <v>1</v>
      </c>
      <c r="AD16" s="533">
        <v>0</v>
      </c>
      <c r="AE16" s="533">
        <v>0</v>
      </c>
    </row>
    <row r="17" spans="1:31" ht="30" customHeight="1">
      <c r="A17" s="522"/>
      <c r="B17" s="510"/>
      <c r="C17" s="654"/>
      <c r="D17" s="657"/>
      <c r="E17" s="532">
        <v>70</v>
      </c>
      <c r="F17" s="526">
        <v>7</v>
      </c>
      <c r="G17" s="533">
        <v>1</v>
      </c>
      <c r="H17" s="533">
        <v>0</v>
      </c>
      <c r="I17" s="533">
        <v>10</v>
      </c>
      <c r="J17" s="533">
        <v>1</v>
      </c>
      <c r="K17" s="533">
        <v>0</v>
      </c>
      <c r="L17" s="533">
        <v>0</v>
      </c>
      <c r="M17" s="533">
        <v>0</v>
      </c>
      <c r="N17" s="535">
        <v>0</v>
      </c>
      <c r="O17" s="533">
        <v>0</v>
      </c>
      <c r="P17" s="533">
        <v>0</v>
      </c>
      <c r="Q17" s="533">
        <v>0</v>
      </c>
      <c r="R17" s="533">
        <v>0</v>
      </c>
      <c r="S17" s="533">
        <v>10</v>
      </c>
      <c r="T17" s="533">
        <v>0</v>
      </c>
      <c r="U17" s="533">
        <v>0</v>
      </c>
      <c r="V17" s="533">
        <v>0</v>
      </c>
      <c r="W17" s="534">
        <v>0</v>
      </c>
      <c r="X17" s="533">
        <v>4</v>
      </c>
      <c r="Y17" s="533">
        <v>0</v>
      </c>
      <c r="Z17" s="533">
        <v>1</v>
      </c>
      <c r="AA17" s="533">
        <v>0</v>
      </c>
      <c r="AB17" s="533">
        <v>0</v>
      </c>
      <c r="AC17" s="533">
        <v>1</v>
      </c>
      <c r="AD17" s="533">
        <v>0</v>
      </c>
      <c r="AE17" s="533">
        <v>0</v>
      </c>
    </row>
    <row r="18" spans="1:31" ht="30" customHeight="1">
      <c r="A18" s="522"/>
      <c r="B18" s="510"/>
      <c r="C18" s="654"/>
      <c r="D18" s="657"/>
      <c r="E18" s="532">
        <v>80</v>
      </c>
      <c r="F18" s="526">
        <v>8</v>
      </c>
      <c r="G18" s="533">
        <v>0</v>
      </c>
      <c r="H18" s="533">
        <v>0</v>
      </c>
      <c r="I18" s="533">
        <v>0</v>
      </c>
      <c r="J18" s="533">
        <v>0</v>
      </c>
      <c r="K18" s="533">
        <v>0</v>
      </c>
      <c r="L18" s="533">
        <v>0</v>
      </c>
      <c r="M18" s="533">
        <v>0</v>
      </c>
      <c r="N18" s="535">
        <v>0</v>
      </c>
      <c r="O18" s="533">
        <v>0</v>
      </c>
      <c r="P18" s="533">
        <v>0</v>
      </c>
      <c r="Q18" s="533">
        <v>0</v>
      </c>
      <c r="R18" s="533">
        <v>0</v>
      </c>
      <c r="S18" s="533">
        <v>2</v>
      </c>
      <c r="T18" s="533">
        <v>0</v>
      </c>
      <c r="U18" s="533">
        <v>0</v>
      </c>
      <c r="V18" s="533">
        <v>0</v>
      </c>
      <c r="W18" s="534">
        <v>0</v>
      </c>
      <c r="X18" s="533">
        <v>0</v>
      </c>
      <c r="Y18" s="533">
        <v>0</v>
      </c>
      <c r="Z18" s="533">
        <v>0</v>
      </c>
      <c r="AA18" s="533">
        <v>0</v>
      </c>
      <c r="AB18" s="533">
        <v>0</v>
      </c>
      <c r="AC18" s="533">
        <v>0</v>
      </c>
      <c r="AD18" s="533">
        <v>0</v>
      </c>
      <c r="AE18" s="533">
        <v>0</v>
      </c>
    </row>
    <row r="19" spans="1:31" ht="30" customHeight="1">
      <c r="A19" s="522"/>
      <c r="B19" s="510"/>
      <c r="C19" s="654"/>
      <c r="D19" s="657"/>
      <c r="E19" s="532">
        <v>90</v>
      </c>
      <c r="F19" s="526">
        <v>9</v>
      </c>
      <c r="G19" s="533">
        <v>2</v>
      </c>
      <c r="H19" s="533">
        <v>0</v>
      </c>
      <c r="I19" s="533">
        <v>10</v>
      </c>
      <c r="J19" s="533">
        <v>0</v>
      </c>
      <c r="K19" s="533">
        <v>0</v>
      </c>
      <c r="L19" s="533">
        <v>0</v>
      </c>
      <c r="M19" s="533">
        <v>0</v>
      </c>
      <c r="N19" s="535">
        <v>0</v>
      </c>
      <c r="O19" s="533">
        <v>1</v>
      </c>
      <c r="P19" s="533">
        <v>0</v>
      </c>
      <c r="Q19" s="533">
        <v>0</v>
      </c>
      <c r="R19" s="533">
        <v>0</v>
      </c>
      <c r="S19" s="533">
        <v>6</v>
      </c>
      <c r="T19" s="533">
        <v>0</v>
      </c>
      <c r="U19" s="533">
        <v>0</v>
      </c>
      <c r="V19" s="533">
        <v>0</v>
      </c>
      <c r="W19" s="534">
        <v>0</v>
      </c>
      <c r="X19" s="533">
        <v>2</v>
      </c>
      <c r="Y19" s="533">
        <v>0</v>
      </c>
      <c r="Z19" s="533">
        <v>2</v>
      </c>
      <c r="AA19" s="533">
        <v>0</v>
      </c>
      <c r="AB19" s="533">
        <v>0</v>
      </c>
      <c r="AC19" s="533">
        <v>0</v>
      </c>
      <c r="AD19" s="533">
        <v>0</v>
      </c>
      <c r="AE19" s="533">
        <v>0</v>
      </c>
    </row>
    <row r="20" spans="1:31" ht="30" customHeight="1">
      <c r="A20" s="522"/>
      <c r="B20" s="510"/>
      <c r="C20" s="654"/>
      <c r="D20" s="657"/>
      <c r="E20" s="532">
        <v>100</v>
      </c>
      <c r="F20" s="526">
        <v>10</v>
      </c>
      <c r="G20" s="533">
        <v>0</v>
      </c>
      <c r="H20" s="533">
        <v>0</v>
      </c>
      <c r="I20" s="533">
        <v>1</v>
      </c>
      <c r="J20" s="533">
        <v>0</v>
      </c>
      <c r="K20" s="533">
        <v>0</v>
      </c>
      <c r="L20" s="533">
        <v>0</v>
      </c>
      <c r="M20" s="533">
        <v>0</v>
      </c>
      <c r="N20" s="535">
        <v>0</v>
      </c>
      <c r="O20" s="533">
        <v>0</v>
      </c>
      <c r="P20" s="533">
        <v>0</v>
      </c>
      <c r="Q20" s="533">
        <v>0</v>
      </c>
      <c r="R20" s="533">
        <v>0</v>
      </c>
      <c r="S20" s="533">
        <v>0</v>
      </c>
      <c r="T20" s="533">
        <v>0</v>
      </c>
      <c r="U20" s="533">
        <v>0</v>
      </c>
      <c r="V20" s="533">
        <v>0</v>
      </c>
      <c r="W20" s="534">
        <v>0</v>
      </c>
      <c r="X20" s="533">
        <v>0</v>
      </c>
      <c r="Y20" s="533">
        <v>0</v>
      </c>
      <c r="Z20" s="533">
        <v>0</v>
      </c>
      <c r="AA20" s="533">
        <v>0</v>
      </c>
      <c r="AB20" s="533">
        <v>0</v>
      </c>
      <c r="AC20" s="533">
        <v>0</v>
      </c>
      <c r="AD20" s="533">
        <v>0</v>
      </c>
      <c r="AE20" s="533">
        <v>0</v>
      </c>
    </row>
    <row r="21" spans="1:31" ht="30" customHeight="1">
      <c r="A21" s="522"/>
      <c r="B21" s="510"/>
      <c r="C21" s="654"/>
      <c r="D21" s="657"/>
      <c r="E21" s="536" t="s">
        <v>19</v>
      </c>
      <c r="F21" s="526">
        <v>11</v>
      </c>
      <c r="G21" s="537"/>
      <c r="H21" s="537"/>
      <c r="I21" s="537"/>
      <c r="J21" s="537"/>
      <c r="K21" s="537"/>
      <c r="L21" s="537"/>
      <c r="M21" s="537"/>
      <c r="N21" s="537"/>
      <c r="O21" s="537"/>
      <c r="P21" s="537"/>
      <c r="Q21" s="537"/>
      <c r="R21" s="537"/>
      <c r="S21" s="537"/>
      <c r="T21" s="537"/>
      <c r="U21" s="537"/>
      <c r="V21" s="537"/>
      <c r="W21" s="538"/>
      <c r="X21" s="537"/>
      <c r="Y21" s="537"/>
      <c r="Z21" s="537"/>
      <c r="AA21" s="537"/>
      <c r="AB21" s="537"/>
      <c r="AC21" s="537"/>
      <c r="AD21" s="537"/>
      <c r="AE21" s="537"/>
    </row>
    <row r="22" spans="1:31" ht="30" customHeight="1">
      <c r="A22" s="522"/>
      <c r="B22" s="510"/>
      <c r="C22" s="654"/>
      <c r="D22" s="658"/>
      <c r="E22" s="539" t="s">
        <v>20</v>
      </c>
      <c r="F22" s="526">
        <v>12</v>
      </c>
      <c r="G22" s="537">
        <v>1</v>
      </c>
      <c r="H22" s="537">
        <v>0</v>
      </c>
      <c r="I22" s="537">
        <v>18</v>
      </c>
      <c r="J22" s="537">
        <v>0</v>
      </c>
      <c r="K22" s="537">
        <v>1</v>
      </c>
      <c r="L22" s="537">
        <v>0</v>
      </c>
      <c r="M22" s="537">
        <v>0</v>
      </c>
      <c r="N22" s="537">
        <v>0</v>
      </c>
      <c r="O22" s="537">
        <v>1</v>
      </c>
      <c r="P22" s="537">
        <v>0</v>
      </c>
      <c r="Q22" s="537">
        <v>0</v>
      </c>
      <c r="R22" s="537">
        <v>0</v>
      </c>
      <c r="S22" s="537">
        <v>17</v>
      </c>
      <c r="T22" s="537">
        <v>0</v>
      </c>
      <c r="U22" s="537">
        <v>0</v>
      </c>
      <c r="V22" s="537">
        <v>0</v>
      </c>
      <c r="W22" s="540">
        <v>0</v>
      </c>
      <c r="X22" s="537">
        <v>2</v>
      </c>
      <c r="Y22" s="537">
        <v>0</v>
      </c>
      <c r="Z22" s="537">
        <v>0</v>
      </c>
      <c r="AA22" s="537">
        <v>0</v>
      </c>
      <c r="AB22" s="537">
        <v>0</v>
      </c>
      <c r="AC22" s="537">
        <v>1</v>
      </c>
      <c r="AD22" s="537">
        <v>0</v>
      </c>
      <c r="AE22" s="537">
        <v>0</v>
      </c>
    </row>
    <row r="23" spans="1:31" s="547" customFormat="1" ht="30" customHeight="1">
      <c r="A23" s="541"/>
      <c r="B23" s="542"/>
      <c r="C23" s="655"/>
      <c r="D23" s="543" t="s">
        <v>364</v>
      </c>
      <c r="E23" s="544" t="s">
        <v>365</v>
      </c>
      <c r="F23" s="545">
        <v>13</v>
      </c>
      <c r="G23" s="546">
        <v>54</v>
      </c>
      <c r="H23" s="546">
        <v>2</v>
      </c>
      <c r="I23" s="546">
        <v>195</v>
      </c>
      <c r="J23" s="546">
        <v>1</v>
      </c>
      <c r="K23" s="546">
        <v>1</v>
      </c>
      <c r="L23" s="546">
        <v>1</v>
      </c>
      <c r="M23" s="546">
        <v>0</v>
      </c>
      <c r="N23" s="546">
        <v>0</v>
      </c>
      <c r="O23" s="546">
        <v>12</v>
      </c>
      <c r="P23" s="546">
        <v>3</v>
      </c>
      <c r="Q23" s="546">
        <v>5</v>
      </c>
      <c r="R23" s="546">
        <v>0</v>
      </c>
      <c r="S23" s="546">
        <v>123</v>
      </c>
      <c r="T23" s="546">
        <v>0</v>
      </c>
      <c r="U23" s="546">
        <v>0</v>
      </c>
      <c r="V23" s="546">
        <v>0</v>
      </c>
      <c r="W23" s="546">
        <v>0</v>
      </c>
      <c r="X23" s="546">
        <v>68</v>
      </c>
      <c r="Y23" s="546">
        <v>0</v>
      </c>
      <c r="Z23" s="546">
        <v>28</v>
      </c>
      <c r="AA23" s="546">
        <v>1</v>
      </c>
      <c r="AB23" s="546">
        <v>3</v>
      </c>
      <c r="AC23" s="546">
        <v>46</v>
      </c>
      <c r="AD23" s="546">
        <v>0</v>
      </c>
      <c r="AE23" s="546">
        <v>0</v>
      </c>
    </row>
    <row r="24" spans="1:31" ht="30" customHeight="1">
      <c r="A24" s="522"/>
      <c r="B24" s="510"/>
      <c r="C24" s="644" t="s">
        <v>21</v>
      </c>
      <c r="D24" s="647" t="s">
        <v>22</v>
      </c>
      <c r="E24" s="648"/>
      <c r="F24" s="526">
        <v>14</v>
      </c>
      <c r="G24" s="537">
        <v>12</v>
      </c>
      <c r="H24" s="537">
        <v>1</v>
      </c>
      <c r="I24" s="537">
        <v>60</v>
      </c>
      <c r="J24" s="537">
        <v>0</v>
      </c>
      <c r="K24" s="537">
        <v>1</v>
      </c>
      <c r="L24" s="537">
        <v>0</v>
      </c>
      <c r="M24" s="537">
        <v>0</v>
      </c>
      <c r="N24" s="537">
        <v>0</v>
      </c>
      <c r="O24" s="537">
        <v>15</v>
      </c>
      <c r="P24" s="537">
        <v>2</v>
      </c>
      <c r="Q24" s="537">
        <v>2</v>
      </c>
      <c r="R24" s="537">
        <v>0</v>
      </c>
      <c r="S24" s="537">
        <v>47</v>
      </c>
      <c r="T24" s="537">
        <v>0</v>
      </c>
      <c r="U24" s="537">
        <v>0</v>
      </c>
      <c r="V24" s="537">
        <v>0</v>
      </c>
      <c r="W24" s="537">
        <v>0</v>
      </c>
      <c r="X24" s="537">
        <v>13</v>
      </c>
      <c r="Y24" s="537">
        <v>0</v>
      </c>
      <c r="Z24" s="537">
        <v>4</v>
      </c>
      <c r="AA24" s="537">
        <v>0</v>
      </c>
      <c r="AB24" s="537">
        <v>4</v>
      </c>
      <c r="AC24" s="537">
        <v>15</v>
      </c>
      <c r="AD24" s="537">
        <v>0</v>
      </c>
      <c r="AE24" s="537">
        <v>0</v>
      </c>
    </row>
    <row r="25" spans="1:31" ht="30" customHeight="1">
      <c r="A25" s="522"/>
      <c r="B25" s="510"/>
      <c r="C25" s="645"/>
      <c r="D25" s="548" t="s">
        <v>23</v>
      </c>
      <c r="E25" s="539" t="s">
        <v>24</v>
      </c>
      <c r="F25" s="526">
        <v>15</v>
      </c>
      <c r="G25" s="537">
        <v>24</v>
      </c>
      <c r="H25" s="537">
        <v>3</v>
      </c>
      <c r="I25" s="537">
        <v>46</v>
      </c>
      <c r="J25" s="537">
        <v>4</v>
      </c>
      <c r="K25" s="537">
        <v>0</v>
      </c>
      <c r="L25" s="537">
        <v>1</v>
      </c>
      <c r="M25" s="537">
        <v>0</v>
      </c>
      <c r="N25" s="537">
        <v>0</v>
      </c>
      <c r="O25" s="537">
        <v>17</v>
      </c>
      <c r="P25" s="537">
        <v>3</v>
      </c>
      <c r="Q25" s="537">
        <v>3</v>
      </c>
      <c r="R25" s="537">
        <v>0</v>
      </c>
      <c r="S25" s="537">
        <v>88</v>
      </c>
      <c r="T25" s="537">
        <v>0</v>
      </c>
      <c r="U25" s="537">
        <v>0</v>
      </c>
      <c r="V25" s="537">
        <v>0</v>
      </c>
      <c r="W25" s="537">
        <v>0</v>
      </c>
      <c r="X25" s="537">
        <v>7</v>
      </c>
      <c r="Y25" s="537">
        <v>0</v>
      </c>
      <c r="Z25" s="537">
        <v>20</v>
      </c>
      <c r="AA25" s="537">
        <v>2</v>
      </c>
      <c r="AB25" s="537">
        <v>0</v>
      </c>
      <c r="AC25" s="537">
        <v>18</v>
      </c>
      <c r="AD25" s="537">
        <v>0</v>
      </c>
      <c r="AE25" s="537">
        <v>0</v>
      </c>
    </row>
    <row r="26" spans="1:31" s="547" customFormat="1" ht="30" customHeight="1">
      <c r="A26" s="541"/>
      <c r="B26" s="542"/>
      <c r="C26" s="646"/>
      <c r="D26" s="543" t="s">
        <v>366</v>
      </c>
      <c r="E26" s="544" t="s">
        <v>367</v>
      </c>
      <c r="F26" s="545">
        <v>16</v>
      </c>
      <c r="G26" s="546">
        <v>36</v>
      </c>
      <c r="H26" s="546">
        <v>4</v>
      </c>
      <c r="I26" s="546">
        <v>106</v>
      </c>
      <c r="J26" s="546">
        <v>4</v>
      </c>
      <c r="K26" s="546">
        <v>1</v>
      </c>
      <c r="L26" s="546">
        <v>1</v>
      </c>
      <c r="M26" s="546">
        <v>0</v>
      </c>
      <c r="N26" s="546">
        <v>0</v>
      </c>
      <c r="O26" s="546">
        <v>32</v>
      </c>
      <c r="P26" s="546">
        <v>5</v>
      </c>
      <c r="Q26" s="546">
        <v>5</v>
      </c>
      <c r="R26" s="546">
        <v>0</v>
      </c>
      <c r="S26" s="546">
        <v>135</v>
      </c>
      <c r="T26" s="546">
        <v>0</v>
      </c>
      <c r="U26" s="546">
        <v>0</v>
      </c>
      <c r="V26" s="546">
        <v>0</v>
      </c>
      <c r="W26" s="546">
        <v>0</v>
      </c>
      <c r="X26" s="546">
        <v>20</v>
      </c>
      <c r="Y26" s="546">
        <v>0</v>
      </c>
      <c r="Z26" s="546">
        <v>24</v>
      </c>
      <c r="AA26" s="546">
        <v>2</v>
      </c>
      <c r="AB26" s="546">
        <v>4</v>
      </c>
      <c r="AC26" s="546">
        <v>33</v>
      </c>
      <c r="AD26" s="546">
        <v>0</v>
      </c>
      <c r="AE26" s="546">
        <v>0</v>
      </c>
    </row>
    <row r="27" spans="1:31" s="547" customFormat="1" ht="30" customHeight="1">
      <c r="A27" s="541"/>
      <c r="B27" s="542"/>
      <c r="C27" s="635" t="s">
        <v>368</v>
      </c>
      <c r="D27" s="636"/>
      <c r="E27" s="549" t="s">
        <v>369</v>
      </c>
      <c r="F27" s="545">
        <v>17</v>
      </c>
      <c r="G27" s="546">
        <v>90</v>
      </c>
      <c r="H27" s="546">
        <v>6</v>
      </c>
      <c r="I27" s="546">
        <v>301</v>
      </c>
      <c r="J27" s="546">
        <v>5</v>
      </c>
      <c r="K27" s="546">
        <v>2</v>
      </c>
      <c r="L27" s="546">
        <v>2</v>
      </c>
      <c r="M27" s="546">
        <v>0</v>
      </c>
      <c r="N27" s="546">
        <v>0</v>
      </c>
      <c r="O27" s="546">
        <v>44</v>
      </c>
      <c r="P27" s="546">
        <v>8</v>
      </c>
      <c r="Q27" s="546">
        <v>10</v>
      </c>
      <c r="R27" s="546">
        <v>0</v>
      </c>
      <c r="S27" s="546">
        <v>258</v>
      </c>
      <c r="T27" s="546">
        <v>0</v>
      </c>
      <c r="U27" s="546">
        <v>0</v>
      </c>
      <c r="V27" s="546">
        <v>0</v>
      </c>
      <c r="W27" s="546">
        <v>0</v>
      </c>
      <c r="X27" s="546">
        <v>88</v>
      </c>
      <c r="Y27" s="546">
        <v>0</v>
      </c>
      <c r="Z27" s="546">
        <v>52</v>
      </c>
      <c r="AA27" s="546">
        <v>3</v>
      </c>
      <c r="AB27" s="546">
        <v>7</v>
      </c>
      <c r="AC27" s="546">
        <v>79</v>
      </c>
      <c r="AD27" s="546">
        <v>0</v>
      </c>
      <c r="AE27" s="546">
        <v>0</v>
      </c>
    </row>
    <row r="28" spans="1:31" ht="30" customHeight="1">
      <c r="A28" s="522"/>
      <c r="B28" s="510"/>
      <c r="C28" s="523" t="s">
        <v>370</v>
      </c>
      <c r="D28" s="550"/>
      <c r="E28" s="525"/>
      <c r="F28" s="526"/>
      <c r="G28" s="551"/>
      <c r="H28" s="551"/>
      <c r="I28" s="551"/>
      <c r="J28" s="551"/>
      <c r="K28" s="551"/>
      <c r="L28" s="551"/>
      <c r="M28" s="551"/>
      <c r="N28" s="552"/>
      <c r="O28" s="551"/>
      <c r="P28" s="551"/>
      <c r="Q28" s="551"/>
      <c r="R28" s="551"/>
      <c r="S28" s="551"/>
      <c r="T28" s="551"/>
      <c r="U28" s="551"/>
      <c r="V28" s="551"/>
      <c r="W28" s="540"/>
      <c r="X28" s="551"/>
      <c r="Y28" s="551"/>
      <c r="Z28" s="551"/>
      <c r="AA28" s="551"/>
      <c r="AB28" s="551"/>
      <c r="AC28" s="551"/>
      <c r="AD28" s="551"/>
      <c r="AE28" s="551"/>
    </row>
    <row r="29" spans="1:31" ht="30" customHeight="1">
      <c r="A29" s="522"/>
      <c r="B29" s="510"/>
      <c r="C29" s="637" t="s">
        <v>371</v>
      </c>
      <c r="D29" s="638"/>
      <c r="E29" s="539" t="s">
        <v>372</v>
      </c>
      <c r="F29" s="526">
        <v>18</v>
      </c>
      <c r="G29" s="553">
        <v>2</v>
      </c>
      <c r="H29" s="553">
        <v>0</v>
      </c>
      <c r="I29" s="553">
        <v>4</v>
      </c>
      <c r="J29" s="553">
        <v>0</v>
      </c>
      <c r="K29" s="553">
        <v>0</v>
      </c>
      <c r="L29" s="553">
        <v>0</v>
      </c>
      <c r="M29" s="553">
        <v>0</v>
      </c>
      <c r="N29" s="554">
        <v>0</v>
      </c>
      <c r="O29" s="553">
        <v>2</v>
      </c>
      <c r="P29" s="553">
        <v>0</v>
      </c>
      <c r="Q29" s="553">
        <v>0</v>
      </c>
      <c r="R29" s="553">
        <v>0</v>
      </c>
      <c r="S29" s="553">
        <v>9</v>
      </c>
      <c r="T29" s="553">
        <v>0</v>
      </c>
      <c r="U29" s="553">
        <v>0</v>
      </c>
      <c r="V29" s="553">
        <v>0</v>
      </c>
      <c r="W29" s="534">
        <v>0</v>
      </c>
      <c r="X29" s="553">
        <v>5</v>
      </c>
      <c r="Y29" s="553">
        <v>0</v>
      </c>
      <c r="Z29" s="553">
        <v>0</v>
      </c>
      <c r="AA29" s="553">
        <v>0</v>
      </c>
      <c r="AB29" s="553">
        <v>0</v>
      </c>
      <c r="AC29" s="553">
        <v>6</v>
      </c>
      <c r="AD29" s="553">
        <v>0</v>
      </c>
      <c r="AE29" s="553">
        <v>0</v>
      </c>
    </row>
    <row r="30" spans="1:31" ht="30" customHeight="1">
      <c r="A30" s="522"/>
      <c r="B30" s="510"/>
      <c r="C30" s="639"/>
      <c r="D30" s="640"/>
      <c r="E30" s="539" t="s">
        <v>373</v>
      </c>
      <c r="F30" s="526">
        <v>19</v>
      </c>
      <c r="G30" s="553">
        <v>3</v>
      </c>
      <c r="H30" s="553">
        <v>0</v>
      </c>
      <c r="I30" s="553">
        <v>7</v>
      </c>
      <c r="J30" s="553">
        <v>0</v>
      </c>
      <c r="K30" s="553">
        <v>0</v>
      </c>
      <c r="L30" s="553">
        <v>0</v>
      </c>
      <c r="M30" s="553">
        <v>0</v>
      </c>
      <c r="N30" s="554">
        <v>0</v>
      </c>
      <c r="O30" s="553">
        <v>3</v>
      </c>
      <c r="P30" s="553">
        <v>0</v>
      </c>
      <c r="Q30" s="553">
        <v>0</v>
      </c>
      <c r="R30" s="553">
        <v>0</v>
      </c>
      <c r="S30" s="553">
        <v>12</v>
      </c>
      <c r="T30" s="553">
        <v>0</v>
      </c>
      <c r="U30" s="553">
        <v>0</v>
      </c>
      <c r="V30" s="553">
        <v>0</v>
      </c>
      <c r="W30" s="534">
        <v>0</v>
      </c>
      <c r="X30" s="553">
        <v>5</v>
      </c>
      <c r="Y30" s="553">
        <v>0</v>
      </c>
      <c r="Z30" s="553">
        <v>0</v>
      </c>
      <c r="AA30" s="553">
        <v>0</v>
      </c>
      <c r="AB30" s="553">
        <v>0</v>
      </c>
      <c r="AC30" s="553">
        <v>6</v>
      </c>
      <c r="AD30" s="553">
        <v>0</v>
      </c>
      <c r="AE30" s="553">
        <v>0</v>
      </c>
    </row>
    <row r="31" spans="1:31" s="557" customFormat="1" ht="30" customHeight="1">
      <c r="A31" s="541"/>
      <c r="B31" s="542"/>
      <c r="C31" s="641" t="s">
        <v>25</v>
      </c>
      <c r="D31" s="642"/>
      <c r="E31" s="555"/>
      <c r="F31" s="527">
        <v>20</v>
      </c>
      <c r="G31" s="556">
        <v>3</v>
      </c>
      <c r="H31" s="556">
        <v>2</v>
      </c>
      <c r="I31" s="556">
        <v>9</v>
      </c>
      <c r="J31" s="556">
        <v>0</v>
      </c>
      <c r="K31" s="556">
        <v>1</v>
      </c>
      <c r="L31" s="556">
        <v>0</v>
      </c>
      <c r="M31" s="556">
        <v>0</v>
      </c>
      <c r="N31" s="537">
        <v>0</v>
      </c>
      <c r="O31" s="556">
        <v>1</v>
      </c>
      <c r="P31" s="556">
        <v>1</v>
      </c>
      <c r="Q31" s="556">
        <v>1</v>
      </c>
      <c r="R31" s="556">
        <v>0</v>
      </c>
      <c r="S31" s="556">
        <v>25</v>
      </c>
      <c r="T31" s="556">
        <v>0</v>
      </c>
      <c r="U31" s="556">
        <v>0</v>
      </c>
      <c r="V31" s="556">
        <v>0</v>
      </c>
      <c r="W31" s="538">
        <v>0</v>
      </c>
      <c r="X31" s="556">
        <v>7</v>
      </c>
      <c r="Y31" s="556">
        <v>0</v>
      </c>
      <c r="Z31" s="556">
        <v>4</v>
      </c>
      <c r="AA31" s="556">
        <v>0</v>
      </c>
      <c r="AB31" s="556">
        <v>2</v>
      </c>
      <c r="AC31" s="556">
        <v>2</v>
      </c>
      <c r="AD31" s="556">
        <v>0</v>
      </c>
      <c r="AE31" s="556">
        <v>0</v>
      </c>
    </row>
    <row r="32" spans="1:31" s="557" customFormat="1" ht="30" customHeight="1">
      <c r="A32" s="541"/>
      <c r="B32" s="542"/>
      <c r="C32" s="641" t="s">
        <v>26</v>
      </c>
      <c r="D32" s="642"/>
      <c r="E32" s="555"/>
      <c r="F32" s="527">
        <v>21</v>
      </c>
      <c r="G32" s="537"/>
      <c r="H32" s="537"/>
      <c r="I32" s="537"/>
      <c r="J32" s="537"/>
      <c r="K32" s="537"/>
      <c r="L32" s="537"/>
      <c r="M32" s="537"/>
      <c r="N32" s="537"/>
      <c r="O32" s="537"/>
      <c r="P32" s="537"/>
      <c r="Q32" s="537"/>
      <c r="R32" s="537"/>
      <c r="S32" s="537"/>
      <c r="T32" s="537"/>
      <c r="U32" s="537"/>
      <c r="V32" s="537"/>
      <c r="W32" s="538"/>
      <c r="X32" s="537"/>
      <c r="Y32" s="537"/>
      <c r="Z32" s="537"/>
      <c r="AA32" s="537"/>
      <c r="AB32" s="537"/>
      <c r="AC32" s="537"/>
      <c r="AD32" s="537"/>
      <c r="AE32" s="537"/>
    </row>
    <row r="33" spans="1:31" s="557" customFormat="1" ht="30" customHeight="1">
      <c r="A33" s="541"/>
      <c r="B33" s="542"/>
      <c r="C33" s="641" t="s">
        <v>27</v>
      </c>
      <c r="D33" s="642"/>
      <c r="E33" s="555"/>
      <c r="F33" s="527">
        <v>22</v>
      </c>
      <c r="G33" s="537"/>
      <c r="H33" s="537"/>
      <c r="I33" s="537"/>
      <c r="J33" s="537"/>
      <c r="K33" s="537"/>
      <c r="L33" s="537"/>
      <c r="M33" s="537"/>
      <c r="N33" s="537"/>
      <c r="O33" s="537"/>
      <c r="P33" s="537"/>
      <c r="Q33" s="537"/>
      <c r="R33" s="537"/>
      <c r="S33" s="537"/>
      <c r="T33" s="537"/>
      <c r="U33" s="537"/>
      <c r="V33" s="537"/>
      <c r="W33" s="538"/>
      <c r="X33" s="537"/>
      <c r="Y33" s="537"/>
      <c r="Z33" s="537"/>
      <c r="AA33" s="537"/>
      <c r="AB33" s="537"/>
      <c r="AC33" s="537"/>
      <c r="AD33" s="537"/>
      <c r="AE33" s="537"/>
    </row>
    <row r="34" spans="1:31" s="547" customFormat="1" ht="30" customHeight="1">
      <c r="A34" s="541"/>
      <c r="B34" s="558"/>
      <c r="C34" s="635" t="s">
        <v>374</v>
      </c>
      <c r="D34" s="643"/>
      <c r="E34" s="549" t="s">
        <v>375</v>
      </c>
      <c r="F34" s="545">
        <v>23</v>
      </c>
      <c r="G34" s="546"/>
      <c r="H34" s="546"/>
      <c r="I34" s="546"/>
      <c r="J34" s="546"/>
      <c r="K34" s="546"/>
      <c r="L34" s="546"/>
      <c r="M34" s="546"/>
      <c r="N34" s="546"/>
      <c r="O34" s="546"/>
      <c r="P34" s="546"/>
      <c r="Q34" s="546"/>
      <c r="R34" s="546"/>
      <c r="S34" s="546"/>
      <c r="T34" s="546"/>
      <c r="U34" s="546"/>
      <c r="V34" s="546"/>
      <c r="W34" s="546"/>
      <c r="X34" s="546"/>
      <c r="Y34" s="546"/>
      <c r="Z34" s="546"/>
      <c r="AA34" s="546"/>
      <c r="AB34" s="546"/>
      <c r="AC34" s="546"/>
      <c r="AD34" s="546"/>
      <c r="AE34" s="546"/>
    </row>
    <row r="35" spans="1:31" s="547" customFormat="1" ht="30" customHeight="1" thickBot="1">
      <c r="A35" s="559"/>
      <c r="B35" s="629" t="s">
        <v>376</v>
      </c>
      <c r="C35" s="630"/>
      <c r="D35" s="631"/>
      <c r="E35" s="560" t="s">
        <v>377</v>
      </c>
      <c r="F35" s="561">
        <v>24</v>
      </c>
      <c r="G35" s="562">
        <v>94</v>
      </c>
      <c r="H35" s="562">
        <v>8</v>
      </c>
      <c r="I35" s="562">
        <v>314</v>
      </c>
      <c r="J35" s="562">
        <v>5</v>
      </c>
      <c r="K35" s="562">
        <v>3</v>
      </c>
      <c r="L35" s="562">
        <v>2</v>
      </c>
      <c r="M35" s="562">
        <v>0</v>
      </c>
      <c r="N35" s="562">
        <v>0</v>
      </c>
      <c r="O35" s="562">
        <v>47</v>
      </c>
      <c r="P35" s="562">
        <v>9</v>
      </c>
      <c r="Q35" s="562">
        <v>11</v>
      </c>
      <c r="R35" s="562">
        <v>0</v>
      </c>
      <c r="S35" s="562">
        <v>297</v>
      </c>
      <c r="T35" s="562">
        <v>0</v>
      </c>
      <c r="U35" s="562">
        <v>0</v>
      </c>
      <c r="V35" s="562">
        <v>0</v>
      </c>
      <c r="W35" s="562">
        <v>0</v>
      </c>
      <c r="X35" s="562">
        <v>98</v>
      </c>
      <c r="Y35" s="562">
        <v>0</v>
      </c>
      <c r="Z35" s="562">
        <v>58</v>
      </c>
      <c r="AA35" s="562">
        <v>3</v>
      </c>
      <c r="AB35" s="562">
        <v>10</v>
      </c>
      <c r="AC35" s="562">
        <v>82</v>
      </c>
      <c r="AD35" s="562">
        <v>0</v>
      </c>
      <c r="AE35" s="562">
        <v>0</v>
      </c>
    </row>
    <row r="36" spans="1:31" ht="30" customHeight="1" thickTop="1">
      <c r="A36" s="563">
        <v>2</v>
      </c>
      <c r="B36" s="564" t="s">
        <v>378</v>
      </c>
      <c r="C36" s="565"/>
      <c r="D36" s="566"/>
      <c r="E36" s="565"/>
      <c r="F36" s="567"/>
      <c r="G36" s="568"/>
      <c r="H36" s="569"/>
      <c r="I36" s="570"/>
      <c r="J36" s="569"/>
      <c r="K36" s="569"/>
      <c r="L36" s="569"/>
      <c r="M36" s="569"/>
      <c r="N36" s="569"/>
      <c r="O36" s="569"/>
      <c r="P36" s="569"/>
      <c r="Q36" s="569"/>
      <c r="R36" s="569"/>
      <c r="S36" s="569"/>
      <c r="T36" s="569"/>
      <c r="U36" s="569"/>
      <c r="V36" s="569"/>
      <c r="W36" s="569"/>
      <c r="X36" s="569"/>
      <c r="Y36" s="569"/>
      <c r="Z36" s="569"/>
      <c r="AA36" s="569"/>
      <c r="AB36" s="569"/>
      <c r="AC36" s="569"/>
      <c r="AD36" s="569"/>
      <c r="AE36" s="569"/>
    </row>
    <row r="37" spans="1:31" ht="30" customHeight="1">
      <c r="A37" s="563"/>
      <c r="B37" s="571"/>
      <c r="C37" s="632" t="s">
        <v>34</v>
      </c>
      <c r="D37" s="572" t="s">
        <v>35</v>
      </c>
      <c r="E37" s="573"/>
      <c r="F37" s="574">
        <v>25</v>
      </c>
      <c r="G37" s="575">
        <v>26013.056</v>
      </c>
      <c r="H37" s="575">
        <v>5012.0860000000002</v>
      </c>
      <c r="I37" s="575">
        <v>164255.47200000001</v>
      </c>
      <c r="J37" s="575">
        <v>2763.5</v>
      </c>
      <c r="K37" s="575">
        <v>1541</v>
      </c>
      <c r="L37" s="575">
        <v>228</v>
      </c>
      <c r="M37" s="575">
        <v>634.80899999999997</v>
      </c>
      <c r="N37" s="575">
        <v>0</v>
      </c>
      <c r="O37" s="575">
        <v>1419.1</v>
      </c>
      <c r="P37" s="575">
        <v>3462.4029999999998</v>
      </c>
      <c r="Q37" s="575">
        <v>5027.3819999999996</v>
      </c>
      <c r="R37" s="575">
        <v>0</v>
      </c>
      <c r="S37" s="575">
        <v>161083.18700000001</v>
      </c>
      <c r="T37" s="575">
        <v>0</v>
      </c>
      <c r="U37" s="575">
        <v>0</v>
      </c>
      <c r="V37" s="575">
        <v>0</v>
      </c>
      <c r="W37" s="575">
        <v>0</v>
      </c>
      <c r="X37" s="575">
        <v>483</v>
      </c>
      <c r="Y37" s="575">
        <v>531.5</v>
      </c>
      <c r="Z37" s="575">
        <v>24900.937000000002</v>
      </c>
      <c r="AA37" s="575">
        <v>2189.3980000000001</v>
      </c>
      <c r="AB37" s="575">
        <v>2847</v>
      </c>
      <c r="AC37" s="575">
        <v>21862.168000000001</v>
      </c>
      <c r="AD37" s="575">
        <v>3008</v>
      </c>
      <c r="AE37" s="575">
        <v>1043.5</v>
      </c>
    </row>
    <row r="38" spans="1:31" ht="30" customHeight="1">
      <c r="A38" s="563"/>
      <c r="B38" s="571"/>
      <c r="C38" s="633"/>
      <c r="D38" s="572" t="s">
        <v>36</v>
      </c>
      <c r="E38" s="573"/>
      <c r="F38" s="574">
        <v>26</v>
      </c>
      <c r="G38" s="575">
        <v>24594.656999999999</v>
      </c>
      <c r="H38" s="575">
        <v>5356.3630000000003</v>
      </c>
      <c r="I38" s="575">
        <v>136600.27799999999</v>
      </c>
      <c r="J38" s="575">
        <v>2299.9969999999998</v>
      </c>
      <c r="K38" s="575">
        <v>1555.9110000000001</v>
      </c>
      <c r="L38" s="575">
        <v>0</v>
      </c>
      <c r="M38" s="575">
        <v>305.45600000000002</v>
      </c>
      <c r="N38" s="575">
        <v>0</v>
      </c>
      <c r="O38" s="575">
        <v>121.363</v>
      </c>
      <c r="P38" s="575">
        <v>3044.54</v>
      </c>
      <c r="Q38" s="575">
        <v>4821.8109999999997</v>
      </c>
      <c r="R38" s="575">
        <v>0</v>
      </c>
      <c r="S38" s="575">
        <v>187267.55499999999</v>
      </c>
      <c r="T38" s="575">
        <v>0</v>
      </c>
      <c r="U38" s="575">
        <v>0</v>
      </c>
      <c r="V38" s="575">
        <v>0</v>
      </c>
      <c r="W38" s="575">
        <v>0</v>
      </c>
      <c r="X38" s="575">
        <v>604.09100000000001</v>
      </c>
      <c r="Y38" s="575">
        <v>69.090999999999994</v>
      </c>
      <c r="Z38" s="575">
        <v>20132.297999999999</v>
      </c>
      <c r="AA38" s="575">
        <v>140.45400000000001</v>
      </c>
      <c r="AB38" s="575">
        <v>7517.7370000000001</v>
      </c>
      <c r="AC38" s="575">
        <v>26041.449000000001</v>
      </c>
      <c r="AD38" s="575">
        <v>2220.002</v>
      </c>
      <c r="AE38" s="575">
        <v>1313.1849999999999</v>
      </c>
    </row>
    <row r="39" spans="1:31" ht="30" customHeight="1">
      <c r="A39" s="563"/>
      <c r="B39" s="571"/>
      <c r="C39" s="633"/>
      <c r="D39" s="572" t="s">
        <v>37</v>
      </c>
      <c r="E39" s="573"/>
      <c r="F39" s="574">
        <v>27</v>
      </c>
      <c r="G39" s="575">
        <v>5918.3360000000002</v>
      </c>
      <c r="H39" s="575">
        <v>1343</v>
      </c>
      <c r="I39" s="575">
        <v>39825.728000000003</v>
      </c>
      <c r="J39" s="575">
        <v>1121.7260000000001</v>
      </c>
      <c r="K39" s="575">
        <v>607</v>
      </c>
      <c r="L39" s="575">
        <v>0</v>
      </c>
      <c r="M39" s="575">
        <v>0</v>
      </c>
      <c r="N39" s="575">
        <v>0</v>
      </c>
      <c r="O39" s="575">
        <v>1508.0889999999999</v>
      </c>
      <c r="P39" s="575">
        <v>63</v>
      </c>
      <c r="Q39" s="575">
        <v>2542.681</v>
      </c>
      <c r="R39" s="575">
        <v>0</v>
      </c>
      <c r="S39" s="575">
        <v>64900.101000000002</v>
      </c>
      <c r="T39" s="575">
        <v>0</v>
      </c>
      <c r="U39" s="575">
        <v>0</v>
      </c>
      <c r="V39" s="575">
        <v>0</v>
      </c>
      <c r="W39" s="575">
        <v>0</v>
      </c>
      <c r="X39" s="575">
        <v>80</v>
      </c>
      <c r="Y39" s="575">
        <v>680.5</v>
      </c>
      <c r="Z39" s="575">
        <v>5950.5879999999997</v>
      </c>
      <c r="AA39" s="575">
        <v>951.59100000000001</v>
      </c>
      <c r="AB39" s="575">
        <v>1149.4079999999999</v>
      </c>
      <c r="AC39" s="575">
        <v>4584.6790000000001</v>
      </c>
      <c r="AD39" s="575">
        <v>659</v>
      </c>
      <c r="AE39" s="575">
        <v>0</v>
      </c>
    </row>
    <row r="40" spans="1:31" ht="30" customHeight="1">
      <c r="A40" s="563"/>
      <c r="B40" s="571"/>
      <c r="C40" s="633"/>
      <c r="D40" s="572" t="s">
        <v>38</v>
      </c>
      <c r="E40" s="573"/>
      <c r="F40" s="574">
        <v>28</v>
      </c>
      <c r="G40" s="575"/>
      <c r="H40" s="575"/>
      <c r="I40" s="575"/>
      <c r="J40" s="575"/>
      <c r="K40" s="575"/>
      <c r="L40" s="575"/>
      <c r="M40" s="575"/>
      <c r="N40" s="575"/>
      <c r="O40" s="575"/>
      <c r="P40" s="575"/>
      <c r="Q40" s="575"/>
      <c r="R40" s="575"/>
      <c r="S40" s="575"/>
      <c r="T40" s="575"/>
      <c r="U40" s="575"/>
      <c r="V40" s="575"/>
      <c r="W40" s="575"/>
      <c r="X40" s="575"/>
      <c r="Y40" s="575"/>
      <c r="Z40" s="575"/>
      <c r="AA40" s="575"/>
      <c r="AB40" s="575"/>
      <c r="AC40" s="575"/>
      <c r="AD40" s="575"/>
      <c r="AE40" s="575"/>
    </row>
    <row r="41" spans="1:31" ht="30" customHeight="1" thickBot="1">
      <c r="A41" s="576"/>
      <c r="B41" s="577"/>
      <c r="C41" s="634"/>
      <c r="D41" s="578" t="s">
        <v>379</v>
      </c>
      <c r="E41" s="579" t="s">
        <v>380</v>
      </c>
      <c r="F41" s="580">
        <v>29</v>
      </c>
      <c r="G41" s="581">
        <v>56525.87401</v>
      </c>
      <c r="H41" s="581">
        <v>11711.4491</v>
      </c>
      <c r="I41" s="581">
        <v>340012.93639999995</v>
      </c>
      <c r="J41" s="581">
        <v>6185.2209299999995</v>
      </c>
      <c r="K41" s="581">
        <v>3703.9115200000001</v>
      </c>
      <c r="L41" s="581">
        <v>228</v>
      </c>
      <c r="M41" s="581">
        <v>940.26499999999999</v>
      </c>
      <c r="N41" s="581">
        <v>0</v>
      </c>
      <c r="O41" s="581">
        <v>3048.5520000000001</v>
      </c>
      <c r="P41" s="581">
        <v>6569.9392699999999</v>
      </c>
      <c r="Q41" s="581">
        <v>12391.874099999999</v>
      </c>
      <c r="R41" s="581">
        <v>0</v>
      </c>
      <c r="S41" s="581">
        <v>410204.74197999993</v>
      </c>
      <c r="T41" s="581">
        <v>0</v>
      </c>
      <c r="U41" s="581">
        <v>0</v>
      </c>
      <c r="V41" s="581">
        <v>0</v>
      </c>
      <c r="W41" s="581">
        <v>0</v>
      </c>
      <c r="X41" s="581">
        <v>1167.0909999999999</v>
      </c>
      <c r="Y41" s="581">
        <v>1281.09114</v>
      </c>
      <c r="Z41" s="581">
        <v>50983.823729999996</v>
      </c>
      <c r="AA41" s="581">
        <v>3281.4428199999998</v>
      </c>
      <c r="AB41" s="581">
        <v>10241.41935</v>
      </c>
      <c r="AC41" s="581">
        <v>52178.235420000005</v>
      </c>
      <c r="AD41" s="581">
        <v>5887.0018799999998</v>
      </c>
      <c r="AE41" s="581">
        <v>1513.5</v>
      </c>
    </row>
    <row r="42" spans="1:31" ht="16.5" thickTop="1"/>
  </sheetData>
  <protectedRanges>
    <protectedRange sqref="E33:F34" name="Range4_1_1_1_1"/>
    <protectedRange sqref="D6" name="Range1_1_1_1_1"/>
    <protectedRange sqref="E14:E19 F13:F14" name="Range2_1_1_1_1"/>
    <protectedRange sqref="E21:E24 F26:F28" name="Range3_1_1_1_1"/>
    <protectedRange sqref="I9 I1:I7 I42:I65417" name="Range16_1_1_1_1_2"/>
    <protectedRange sqref="J1:J7 J42:J65417 J9" name="Range16_1_1_1_2_2"/>
    <protectedRange sqref="K9 K1:K7 K42:K65417" name="Range16_1_1_1_3_1"/>
    <protectedRange sqref="L9 L1:L7 L42:L65417" name="Range16_1_1_1_4_1"/>
    <protectedRange sqref="N9 N1:N7 N42:N65417" name="Range16_1_1_1_6_1"/>
    <protectedRange sqref="E36:F37" name="Range4_1_1_1_1_1_1_1"/>
    <protectedRange sqref="H10 M10 O10 T10:AE10" name="Range16_1_1_1_7"/>
    <protectedRange sqref="I10" name="Range16_1_1_1_1_3"/>
    <protectedRange sqref="J10" name="Range16_1_1_1_2_3"/>
    <protectedRange sqref="K10" name="Range16_1_1_1_3_2"/>
    <protectedRange sqref="L10" name="Range16_1_1_1_2_1_2"/>
    <protectedRange sqref="N10" name="Range16_1_1_1_6_2"/>
    <protectedRange sqref="M36 O36 T36:AE36" name="Range16_1_1_1_9"/>
    <protectedRange sqref="P36:S36" name="Range17_1_1_1_2"/>
    <protectedRange sqref="I36" name="Range16_1_1_1_1_4"/>
    <protectedRange sqref="J36" name="Range16_1_1_1_2_4"/>
    <protectedRange sqref="K36" name="Range16_1_1_1_3_3"/>
    <protectedRange sqref="L36" name="Range16_1_1_1_4_2"/>
    <protectedRange sqref="N36" name="Range16_1_1_1_6_3"/>
    <protectedRange sqref="G36" name="Range4_1_1_1_1_1_1_2"/>
    <protectedRange sqref="T39:AE39 O37 M38" name="Range16_1_1_1"/>
    <protectedRange sqref="G38" name="Range17_1_1_1"/>
    <protectedRange sqref="W11:W22 W28:X33 Y11:Y22 Z28:Z33 AA11:AA22" name="Range16_1_1_1_9_1"/>
    <protectedRange sqref="N34 N23:O27 P34 Q23:Q27 W34 W23:X27 Y34 Z23:Z27 AA34" name="Range16_1_1_1_8_1_1"/>
    <protectedRange sqref="N12:N22 N28:N33" name="Range16_1_1_1_6_3_1"/>
  </protectedRanges>
  <mergeCells count="15">
    <mergeCell ref="C24:C26"/>
    <mergeCell ref="D24:E24"/>
    <mergeCell ref="D4:E4"/>
    <mergeCell ref="D5:E5"/>
    <mergeCell ref="B8:E8"/>
    <mergeCell ref="C11:C23"/>
    <mergeCell ref="D11:D22"/>
    <mergeCell ref="B35:D35"/>
    <mergeCell ref="C37:C41"/>
    <mergeCell ref="C27:D27"/>
    <mergeCell ref="C29:D30"/>
    <mergeCell ref="C31:D31"/>
    <mergeCell ref="C32:D32"/>
    <mergeCell ref="C33:D33"/>
    <mergeCell ref="C34:D34"/>
  </mergeCells>
  <printOptions horizontalCentered="1"/>
  <pageMargins left="0" right="0" top="0" bottom="0" header="0.31496062992125984" footer="0.31496062992125984"/>
  <pageSetup paperSize="8" scale="5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Guidance</vt:lpstr>
      <vt:lpstr>KPI A2000 Banyuwangi</vt:lpstr>
      <vt:lpstr>Sheet1</vt:lpstr>
      <vt:lpstr>by model (A2000 Banyuwangi)</vt:lpstr>
      <vt:lpstr>'by model (A2000 Banyuwangi)'!Print_Area</vt:lpstr>
      <vt:lpstr>Guidance!Print_Area</vt:lpstr>
      <vt:lpstr>'KPI A2000 Banyuwangi'!Print_Area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Ernawati</dc:creator>
  <cp:lastModifiedBy>Eka Wahana</cp:lastModifiedBy>
  <cp:lastPrinted>2020-03-16T06:20:38Z</cp:lastPrinted>
  <dcterms:created xsi:type="dcterms:W3CDTF">2014-02-03T08:58:08Z</dcterms:created>
  <dcterms:modified xsi:type="dcterms:W3CDTF">2020-11-27T03:47:31Z</dcterms:modified>
</cp:coreProperties>
</file>